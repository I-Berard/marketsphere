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UAT Protocol" sheetId="2" state="visible" r:id="rId2"/>
    <sheet name="Dashboard" sheetId="3" state="visible" r:id="rId3"/>
    <sheet name="Authentication" sheetId="4" state="visible" r:id="rId4"/>
    <sheet name="Catalogue" sheetId="5" state="visible" r:id="rId5"/>
    <sheet name="Cart &amp; Discount" sheetId="6" state="visible" r:id="rId6"/>
    <sheet name="Checkout" sheetId="7" state="visible" r:id="rId7"/>
    <sheet name="Wishlist &amp; Orders" sheetId="8" state="visible" r:id="rId8"/>
    <sheet name="Admin" sheetId="9" state="visible" r:id="rId9"/>
    <sheet name="Non-functional" sheetId="10" state="visible" r:id="rId10"/>
  </sheets>
  <definedNames>
    <definedName name="_xlnm.Print_Titles" localSheetId="0">'Cover'!$1:$5</definedName>
    <definedName name="_xlnm._FilterDatabase" localSheetId="3" hidden="1">'Authentication'!$A$5:$O$17</definedName>
    <definedName name="_xlnm._FilterDatabase" localSheetId="4" hidden="1">'Catalogue'!$A$5:$O$15</definedName>
    <definedName name="_xlnm._FilterDatabase" localSheetId="5" hidden="1">'Cart &amp; Discount'!$A$5:$O$19</definedName>
    <definedName name="_xlnm._FilterDatabase" localSheetId="6" hidden="1">'Checkout'!$A$5:$O$19</definedName>
    <definedName name="_xlnm._FilterDatabase" localSheetId="7" hidden="1">'Wishlist &amp; Orders'!$A$5:$O$19</definedName>
    <definedName name="_xlnm._FilterDatabase" localSheetId="8" hidden="1">'Admin'!$A$5:$O$13</definedName>
    <definedName name="_xlnm._FilterDatabase" localSheetId="9" hidden="1">'Non-functional'!$A$5:$O$15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22"/>
    </font>
    <font>
      <name val="Calibri"/>
      <b val="1"/>
      <color rgb="001B365D"/>
      <sz val="16"/>
    </font>
    <font>
      <name val="Calibri"/>
      <color rgb="005C6570"/>
      <sz val="12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B365D"/>
      <sz val="11"/>
    </font>
    <font>
      <name val="Calibri"/>
      <color rgb="001A1A1A"/>
      <sz val="11"/>
    </font>
    <font>
      <name val="Calibri"/>
      <b val="1"/>
      <color rgb="00FFFFFF"/>
    </font>
    <font>
      <name val="Calibri"/>
      <i val="1"/>
      <color rgb="005C6570"/>
      <sz val="9"/>
    </font>
    <font>
      <name val="Calibri"/>
      <b val="1"/>
      <color rgb="00FFFFFF"/>
      <sz val="9"/>
    </font>
    <font>
      <name val="Calibri"/>
      <color rgb="001A1A1A"/>
      <sz val="10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2A6F7F"/>
      </patternFill>
    </fill>
    <fill>
      <patternFill patternType="solid">
        <fgColor rgb="001F7A4D"/>
      </patternFill>
    </fill>
    <fill>
      <patternFill patternType="solid">
        <fgColor rgb="008B3A3A"/>
      </patternFill>
    </fill>
    <fill>
      <patternFill patternType="solid">
        <fgColor rgb="009A6B12"/>
      </patternFill>
    </fill>
    <fill>
      <patternFill patternType="solid">
        <fgColor rgb="005C6570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center" wrapText="1"/>
    </xf>
    <xf numFmtId="0" fontId="6" fillId="4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8" fillId="6" borderId="0" pivotButton="0" quotePrefix="0" xfId="0"/>
    <xf numFmtId="0" fontId="7" fillId="0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9" fillId="0" borderId="0" pivotButton="0" quotePrefix="0" xfId="0"/>
    <xf numFmtId="0" fontId="3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0" pivotButton="0" quotePrefix="0" xfId="0"/>
    <xf numFmtId="164" fontId="0" fillId="0" borderId="0" pivotButton="0" quotePrefix="0" xfId="0"/>
    <xf numFmtId="0" fontId="10" fillId="2" borderId="0" pivotButton="0" quotePrefix="0" xfId="0"/>
    <xf numFmtId="0" fontId="7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0" fontId="6" fillId="10" borderId="1" pivotButton="0" quotePrefix="0" xfId="0"/>
    <xf numFmtId="0" fontId="6" fillId="10" borderId="0" pivotButton="0" quotePrefix="0" xfId="0"/>
    <xf numFmtId="9" fontId="6" fillId="1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UAT status by module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'Dashboard'!C5</f>
            </strRef>
          </tx>
          <spPr>
            <a:ln>
              <a:prstDash val="solid"/>
            </a:ln>
          </spPr>
          <cat>
            <numRef>
              <f>'Dashboard'!$B$6:$B$12</f>
            </numRef>
          </cat>
          <val>
            <numRef>
              <f>'Dashboard'!$C$6:$C$12</f>
            </numRef>
          </val>
        </ser>
        <ser>
          <idx val="1"/>
          <order val="1"/>
          <tx>
            <strRef>
              <f>'Dashboard'!D5</f>
            </strRef>
          </tx>
          <spPr>
            <a:ln>
              <a:prstDash val="solid"/>
            </a:ln>
          </spPr>
          <cat>
            <numRef>
              <f>'Dashboard'!$B$6:$B$12</f>
            </numRef>
          </cat>
          <val>
            <numRef>
              <f>'Dashboard'!$D$6:$D$12</f>
            </numRef>
          </val>
        </ser>
        <ser>
          <idx val="2"/>
          <order val="2"/>
          <tx>
            <strRef>
              <f>'Dashboard'!E5</f>
            </strRef>
          </tx>
          <spPr>
            <a:ln>
              <a:prstDash val="solid"/>
            </a:ln>
          </spPr>
          <cat>
            <numRef>
              <f>'Dashboard'!$B$6:$B$12</f>
            </numRef>
          </cat>
          <val>
            <numRef>
              <f>'Dashboard'!$E$6:$E$12</f>
            </numRef>
          </val>
        </ser>
        <ser>
          <idx val="3"/>
          <order val="3"/>
          <tx>
            <strRef>
              <f>'Dashboard'!F5</f>
            </strRef>
          </tx>
          <spPr>
            <a:ln>
              <a:prstDash val="solid"/>
            </a:ln>
          </spPr>
          <cat>
            <numRef>
              <f>'Dashboard'!$B$6:$B$12</f>
            </numRef>
          </cat>
          <val>
            <numRef>
              <f>'Dashboard'!$F$6:$F$12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B3:G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55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3" ht="28" customHeight="1">
      <c r="B3" s="1" t="inlineStr">
        <is>
          <t>CLOUD SPHERE SOLUTIONS</t>
        </is>
      </c>
    </row>
    <row r="4">
      <c r="B4" s="2" t="inlineStr">
        <is>
          <t>Ecommerce Platform  —  SIT / UAT Test Pack</t>
        </is>
      </c>
    </row>
    <row r="5">
      <c r="B5" s="3" t="inlineStr">
        <is>
          <t>Authentication  •  Catalogue  •  Cart &amp; Discount  •  Checkout  •  Wishlist &amp; Orders  •  Admin  •  Non-functional</t>
        </is>
      </c>
    </row>
    <row r="7">
      <c r="B7" s="4" t="inlineStr">
        <is>
          <t>Storefront  /  shop.cloudsphere.rw (UAT)</t>
        </is>
      </c>
      <c r="C7" s="5" t="n"/>
    </row>
    <row r="10">
      <c r="B10" s="6" t="inlineStr">
        <is>
          <t>PROJECT INFORMATION  /  AMAKURU Y'UMUSHINGA</t>
        </is>
      </c>
      <c r="C10" s="5" t="n"/>
      <c r="D10" s="5" t="n"/>
    </row>
    <row r="11" ht="20" customHeight="1">
      <c r="B11" s="7" t="inlineStr">
        <is>
          <t>Project</t>
        </is>
      </c>
      <c r="C11" s="8" t="inlineStr">
        <is>
          <t>Cloud Sphere Ecommerce &amp; Services Platform</t>
        </is>
      </c>
    </row>
    <row r="12" ht="20" customHeight="1">
      <c r="B12" s="9" t="inlineStr">
        <is>
          <t>Application / Module</t>
        </is>
      </c>
      <c r="C12" s="8" t="inlineStr">
        <is>
          <t>Web storefront + REST API + database (containerized)</t>
        </is>
      </c>
    </row>
    <row r="13" ht="20" customHeight="1">
      <c r="B13" s="7" t="inlineStr">
        <is>
          <t>In-scope journeys</t>
        </is>
      </c>
      <c r="C13" s="8" t="inlineStr">
        <is>
          <t>Login/Register, Catalogue, Cart, Discount, Checkout (MoMo/Card), Wishlist, Orders, Admin fulfill</t>
        </is>
      </c>
    </row>
    <row r="14" ht="20" customHeight="1">
      <c r="B14" s="9" t="inlineStr">
        <is>
          <t>Out of scope</t>
        </is>
      </c>
      <c r="C14" s="8" t="inlineStr">
        <is>
          <t>Native mobile apps; payment-gateway internals; live MoMo charges; production PII</t>
        </is>
      </c>
    </row>
    <row r="15" ht="20" customHeight="1">
      <c r="B15" s="7" t="inlineStr">
        <is>
          <t>Governing SRS</t>
        </is>
      </c>
      <c r="C15" s="8" t="inlineStr">
        <is>
          <t>CSS-SRS-2026-001 v1.0  —  use cases UC-CS-01..13</t>
        </is>
      </c>
    </row>
    <row r="16" ht="20" customHeight="1">
      <c r="B16" s="9" t="inlineStr">
        <is>
          <t>Governing Inception</t>
        </is>
      </c>
      <c r="C16" s="8" t="inlineStr">
        <is>
          <t>CSS-INC-2026-001 v1.0  —  milestones M1–M5, Gantt Annex A</t>
        </is>
      </c>
    </row>
    <row r="17" ht="20" customHeight="1">
      <c r="B17" s="7" t="inlineStr">
        <is>
          <t>Test Phase</t>
        </is>
      </c>
      <c r="C17" s="8" t="inlineStr">
        <is>
          <t>SIT  →  UAT</t>
        </is>
      </c>
    </row>
    <row r="18" ht="20" customHeight="1">
      <c r="B18" s="9" t="inlineStr">
        <is>
          <t>Environment</t>
        </is>
      </c>
      <c r="C18" s="8" t="inlineStr">
        <is>
          <t>UAT / staging Kubernetes cluster (seed data: SRS Appendix B)</t>
        </is>
      </c>
    </row>
    <row r="19" ht="20" customHeight="1">
      <c r="B19" s="7" t="inlineStr">
        <is>
          <t>Build / Release</t>
        </is>
      </c>
      <c r="C19" s="8" t="inlineStr">
        <is>
          <t>1.0-rc</t>
        </is>
      </c>
    </row>
    <row r="20" ht="20" customHeight="1">
      <c r="B20" s="9" t="inlineStr">
        <is>
          <t>Test Lead</t>
        </is>
      </c>
      <c r="C20" s="8" t="inlineStr">
        <is>
          <t>Year 3 SPE QA lead (rotating)  ·  Trainer: Stanley Mwizerwa</t>
        </is>
      </c>
    </row>
    <row r="21" ht="20" customHeight="1">
      <c r="B21" s="7" t="inlineStr">
        <is>
          <t>Business Owner / PO</t>
        </is>
      </c>
      <c r="C21" s="8" t="inlineStr">
        <is>
          <t>Cloud Sphere Product Owner</t>
        </is>
      </c>
    </row>
    <row r="22" ht="20" customHeight="1">
      <c r="B22" s="9" t="inlineStr">
        <is>
          <t>UAT window</t>
        </is>
      </c>
      <c r="C22" s="8" t="inlineStr">
        <is>
          <t>Session 1: Week 12  ·  Session 2: Week 16  ·  Sign-off: Milestone 5</t>
        </is>
      </c>
    </row>
    <row r="23" ht="20" customHeight="1">
      <c r="B23" s="7" t="inlineStr">
        <is>
          <t>Document ID / Version</t>
        </is>
      </c>
      <c r="C23" s="8" t="inlineStr">
        <is>
          <t>CSS-UAT-2026-001  ·  v1.0  ·  20 September 2026</t>
        </is>
      </c>
    </row>
    <row r="26">
      <c r="B26" s="10" t="inlineStr">
        <is>
          <t>HOW TO USE  /  UBURYO BWO GUKORESHA</t>
        </is>
      </c>
    </row>
    <row r="27" ht="28" customHeight="1">
      <c r="B27" s="11" t="inlineStr">
        <is>
          <t>1. Confirm entry criteria</t>
        </is>
      </c>
      <c r="C27" s="8" t="inlineStr">
        <is>
          <t>SRS baselined, Inception accepted, smoke test (home + /health) green, Appendix B seed loaded. Do not start if smoke fails.</t>
        </is>
      </c>
    </row>
    <row r="28" ht="28" customHeight="1">
      <c r="B28" s="11" t="inlineStr">
        <is>
          <t>2. Pick a test sheet</t>
        </is>
      </c>
      <c r="C28" s="8" t="inlineStr">
        <is>
          <t>Authentication, Catalogue, Cart &amp; Discount, Checkout, Wishlist &amp; Orders, Admin, or Non-functional.</t>
        </is>
      </c>
    </row>
    <row r="29" ht="28" customHeight="1">
      <c r="B29" s="11" t="inlineStr">
        <is>
          <t>3. Run each test case</t>
        </is>
      </c>
      <c r="C29" s="8" t="inlineStr">
        <is>
          <t>Follow Test Steps on the UAT storefront (or API notes where marked). Record Actual Result.</t>
        </is>
      </c>
    </row>
    <row r="30" ht="28" customHeight="1">
      <c r="B30" s="11" t="inlineStr">
        <is>
          <t>4. Record the outcome</t>
        </is>
      </c>
      <c r="C30" s="8" t="inlineStr">
        <is>
          <t>Status dropdown: Pass / Fail / Blocked / Not Executed. Failures get a Defect ID.</t>
        </is>
      </c>
    </row>
    <row r="31" ht="28" customHeight="1">
      <c r="B31" s="11" t="inlineStr">
        <is>
          <t>5. Watch the Dashboard</t>
        </is>
      </c>
      <c r="C31" s="8" t="inlineStr">
        <is>
          <t>Counts and pass rate update live from the Status columns.</t>
        </is>
      </c>
    </row>
    <row r="32" ht="28" customHeight="1">
      <c r="B32" s="11" t="inlineStr">
        <is>
          <t>6. Capture LO4 metrics</t>
        </is>
      </c>
      <c r="C32" s="8" t="inlineStr">
        <is>
          <t>On the Protocol sheet: task success, time on task, satisfaction 1–5.</t>
        </is>
      </c>
    </row>
    <row r="33" ht="28" customHeight="1">
      <c r="B33" s="11" t="inlineStr">
        <is>
          <t>7. Sign-off</t>
        </is>
      </c>
      <c r="C33" s="8" t="inlineStr">
        <is>
          <t>Product Owner and QA Lead complete the Dashboard sign-off (Accept / Accept with reservations / Reject).</t>
        </is>
      </c>
    </row>
    <row r="36">
      <c r="B36" s="6" t="inlineStr">
        <is>
          <t>STATUS LEGEND  /  IBISOBANURO</t>
        </is>
      </c>
    </row>
    <row r="37">
      <c r="B37" s="12" t="inlineStr">
        <is>
          <t>Pass</t>
        </is>
      </c>
      <c r="C37" s="13" t="inlineStr">
        <is>
          <t>Test executed and all expected results were observed.</t>
        </is>
      </c>
    </row>
    <row r="38">
      <c r="B38" s="14" t="inlineStr">
        <is>
          <t>Fail</t>
        </is>
      </c>
      <c r="C38" s="13" t="inlineStr">
        <is>
          <t>Test executed but one or more expected results did not match.</t>
        </is>
      </c>
    </row>
    <row r="39">
      <c r="B39" s="15" t="inlineStr">
        <is>
          <t>Blocked</t>
        </is>
      </c>
      <c r="C39" s="13" t="inlineStr">
        <is>
          <t>Cannot be executed because of an environment/data/dependency issue.</t>
        </is>
      </c>
    </row>
    <row r="40">
      <c r="B40" s="16" t="inlineStr">
        <is>
          <t>Not Executed</t>
        </is>
      </c>
      <c r="C40" s="13" t="inlineStr">
        <is>
          <t>Default — test case has not yet been run.</t>
        </is>
      </c>
    </row>
    <row r="42">
      <c r="B42" s="17" t="inlineStr">
        <is>
          <t>© Cloud Sphere Solutions / Rwanda Coding Academy — SPEDO501 capstone. Internal QA workbook. Do not distribute customer data.</t>
        </is>
      </c>
    </row>
  </sheetData>
  <mergeCells count="32">
    <mergeCell ref="B42:D42"/>
    <mergeCell ref="C30:D30"/>
    <mergeCell ref="B7:C7"/>
    <mergeCell ref="C15:D15"/>
    <mergeCell ref="C33:D33"/>
    <mergeCell ref="C14:D14"/>
    <mergeCell ref="B10:D10"/>
    <mergeCell ref="C20:D20"/>
    <mergeCell ref="C29:D29"/>
    <mergeCell ref="C16:D16"/>
    <mergeCell ref="C22:D22"/>
    <mergeCell ref="C40:D40"/>
    <mergeCell ref="C31:D31"/>
    <mergeCell ref="C12:D12"/>
    <mergeCell ref="B36:D36"/>
    <mergeCell ref="C21:D21"/>
    <mergeCell ref="B5:G5"/>
    <mergeCell ref="C11:D11"/>
    <mergeCell ref="C27:D27"/>
    <mergeCell ref="B26:D26"/>
    <mergeCell ref="B4:G4"/>
    <mergeCell ref="C17:D17"/>
    <mergeCell ref="C23:D23"/>
    <mergeCell ref="C39:D39"/>
    <mergeCell ref="B3:G3"/>
    <mergeCell ref="C32:D32"/>
    <mergeCell ref="C38:D38"/>
    <mergeCell ref="C19:D19"/>
    <mergeCell ref="C37:D37"/>
    <mergeCell ref="C28:D28"/>
    <mergeCell ref="C13:D13"/>
    <mergeCell ref="C18:D18"/>
  </mergeCells>
  <pageMargins left="0.75" right="0.75" top="1" bottom="1" header="0.5" footer="0.5"/>
  <pageSetup fitToHeight="1" fitToWidth="1"/>
  <headerFooter>
    <oddHeader/>
    <oddFooter>&amp;LCSS-UAT-2026-001 v1.0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6F7F"/>
    <outlinePr summaryBelow="1" summaryRight="1"/>
    <pageSetUpPr/>
  </sheetPr>
  <dimension ref="B2:G37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16" customWidth="1" min="4" max="4"/>
    <col width="18" customWidth="1" min="5" max="5"/>
    <col width="16" customWidth="1" min="6" max="6"/>
    <col width="28" customWidth="1" min="7" max="7"/>
  </cols>
  <sheetData>
    <row r="2">
      <c r="B2" s="2" t="inlineStr">
        <is>
          <t>UAT Protocol  /  LO4 §2 — objectives, metrics, sign-off</t>
        </is>
      </c>
    </row>
    <row r="3" ht="32" customHeight="1">
      <c r="B3" s="18" t="inlineStr">
        <is>
          <t>This sheet is the formal UAT report skeleton required by SPEDO501 LO4. Test evidence lives on the module sheets; the verdict lives here and on Dashboard.</t>
        </is>
      </c>
    </row>
    <row r="5">
      <c r="B5" s="11" t="inlineStr">
        <is>
          <t>2.1  Objectives</t>
        </is>
      </c>
    </row>
    <row r="6">
      <c r="B6" s="13" t="inlineStr">
        <is>
          <t>O1  A first-time shopper can register, browse, and complete a successful MoMo checkout unaided.</t>
        </is>
      </c>
    </row>
    <row r="7">
      <c r="B7" s="13" t="inlineStr">
        <is>
          <t>O2  Discount SAVE2026 and the qty≥5 / free-shipping decision table behave as SRS Appendix A.</t>
        </is>
      </c>
    </row>
    <row r="8">
      <c r="B8" s="13" t="inlineStr">
        <is>
          <t>O3  MoMo timeout never leaves an order Paid (FR-PAY-03 / Chapter 1 missed-requirement scenario).</t>
        </is>
      </c>
    </row>
    <row r="9">
      <c r="B9" s="13" t="inlineStr">
        <is>
          <t>O4  An operations user can publish a product and ship a Paid order from the quick-start guide alone.</t>
        </is>
      </c>
    </row>
    <row r="10">
      <c r="B10" s="13" t="inlineStr">
        <is>
          <t>O5  IDOR: customer A cannot open customer B’s order.</t>
        </is>
      </c>
    </row>
    <row r="12">
      <c r="B12" s="11" t="inlineStr">
        <is>
          <t>2.2  Metrics (complete during sessions)</t>
        </is>
      </c>
    </row>
    <row r="13">
      <c r="B13" s="19" t="inlineStr">
        <is>
          <t>Task (maps to objective)</t>
        </is>
      </c>
      <c r="C13" s="19" t="inlineStr">
        <is>
          <t>Participant</t>
        </is>
      </c>
      <c r="D13" s="19" t="inlineStr">
        <is>
          <t>Success Y/N</t>
        </is>
      </c>
      <c r="E13" s="19" t="inlineStr">
        <is>
          <t>Time on task (min)</t>
        </is>
      </c>
      <c r="F13" s="19" t="inlineStr">
        <is>
          <t>Satisfaction 1–5</t>
        </is>
      </c>
      <c r="G13" s="19" t="inlineStr">
        <is>
          <t>Notes</t>
        </is>
      </c>
    </row>
    <row r="14" ht="28" customHeight="1">
      <c r="B14" s="20" t="inlineStr">
        <is>
          <t>O1 Browse → register → MoMo success checkout</t>
        </is>
      </c>
      <c r="C14" s="21" t="n"/>
      <c r="D14" s="21" t="n"/>
      <c r="E14" s="21" t="n"/>
      <c r="F14" s="21" t="n"/>
      <c r="G14" s="21" t="n"/>
    </row>
    <row r="15" ht="28" customHeight="1">
      <c r="B15" s="20" t="inlineStr">
        <is>
          <t>O2 Apply SAVE2026 on 5× USB-C-01; Gold free shipping</t>
        </is>
      </c>
      <c r="C15" s="21" t="n"/>
      <c r="D15" s="21" t="n"/>
      <c r="E15" s="21" t="n"/>
      <c r="F15" s="21" t="n"/>
      <c r="G15" s="21" t="n"/>
    </row>
    <row r="16" ht="28" customHeight="1">
      <c r="B16" s="20" t="inlineStr">
        <is>
          <t>O3 Force MoMo timeout; confirm not Paid</t>
        </is>
      </c>
      <c r="C16" s="21" t="n"/>
      <c r="D16" s="21" t="n"/>
      <c r="E16" s="21" t="n"/>
      <c r="F16" s="21" t="n"/>
      <c r="G16" s="21" t="n"/>
    </row>
    <row r="17" ht="28" customHeight="1">
      <c r="B17" s="20" t="inlineStr">
        <is>
          <t>O4 Admin publish SKU + ship Paid order</t>
        </is>
      </c>
      <c r="C17" s="21" t="n"/>
      <c r="D17" s="21" t="n"/>
      <c r="E17" s="21" t="n"/>
      <c r="F17" s="21" t="n"/>
      <c r="G17" s="21" t="n"/>
    </row>
    <row r="18" ht="28" customHeight="1">
      <c r="B18" s="20" t="inlineStr">
        <is>
          <t>O5 Customer A opens Customer B order URL</t>
        </is>
      </c>
      <c r="C18" s="21" t="n"/>
      <c r="D18" s="21" t="n"/>
      <c r="E18" s="21" t="n"/>
      <c r="F18" s="21" t="n"/>
      <c r="G18" s="21" t="n"/>
    </row>
    <row r="20">
      <c r="B20" t="inlineStr">
        <is>
          <t>Task success rate</t>
        </is>
      </c>
      <c r="C20" s="22">
        <f>IF(COUNTA(D14:D18)=0,"",COUNTIF(D14:D18,"Y")/COUNTA(D14:D18))</f>
        <v/>
      </c>
    </row>
    <row r="21">
      <c r="B21" t="inlineStr">
        <is>
          <t>Average satisfaction</t>
        </is>
      </c>
      <c r="C21" s="23">
        <f>IF(COUNT(F14:F18)=0,"",AVERAGE(F14:F18))</f>
        <v/>
      </c>
    </row>
    <row r="22">
      <c r="B22" t="inlineStr">
        <is>
          <t>Defects found in UAT (count of Fail on Dashboard)</t>
        </is>
      </c>
      <c r="C22">
        <f>Dashboard!C11</f>
        <v/>
      </c>
    </row>
    <row r="24">
      <c r="B24" s="11" t="inlineStr">
        <is>
          <t>2.3  Participants (representative users, not only developers)</t>
        </is>
      </c>
    </row>
    <row r="25">
      <c r="B25" s="24" t="inlineStr">
        <is>
          <t>Name</t>
        </is>
      </c>
      <c r="C25" s="24" t="inlineStr">
        <is>
          <t>Role</t>
        </is>
      </c>
      <c r="D25" s="24" t="inlineStr">
        <is>
          <t>Session 1 / 2</t>
        </is>
      </c>
      <c r="E25" s="24" t="inlineStr">
        <is>
          <t>Trained on quick-start?</t>
        </is>
      </c>
    </row>
    <row r="26">
      <c r="B26" s="25" t="inlineStr"/>
      <c r="C26" s="25" t="inlineStr">
        <is>
          <t>Shopper (Customer A)</t>
        </is>
      </c>
      <c r="D26" s="25" t="inlineStr">
        <is>
          <t>1</t>
        </is>
      </c>
      <c r="E26" s="25" t="inlineStr"/>
    </row>
    <row r="27">
      <c r="B27" s="25" t="inlineStr"/>
      <c r="C27" s="25" t="inlineStr">
        <is>
          <t>Shopper (Gold / Customer B)</t>
        </is>
      </c>
      <c r="D27" s="25" t="inlineStr">
        <is>
          <t>1</t>
        </is>
      </c>
      <c r="E27" s="25" t="inlineStr"/>
    </row>
    <row r="28">
      <c r="B28" s="25" t="inlineStr"/>
      <c r="C28" s="25" t="inlineStr">
        <is>
          <t>Cloud Sphere Admin / ops</t>
        </is>
      </c>
      <c r="D28" s="25" t="inlineStr">
        <is>
          <t>1+2</t>
        </is>
      </c>
      <c r="E28" s="25" t="inlineStr"/>
    </row>
    <row r="29">
      <c r="B29" s="25" t="inlineStr"/>
      <c r="C29" s="25" t="inlineStr">
        <is>
          <t>Product Owner</t>
        </is>
      </c>
      <c r="D29" s="25" t="inlineStr">
        <is>
          <t>2 (sign-off)</t>
        </is>
      </c>
      <c r="E29" s="25" t="inlineStr"/>
    </row>
    <row r="30">
      <c r="B30" s="25" t="inlineStr"/>
      <c r="C30" s="25" t="inlineStr">
        <is>
          <t>QA Lead</t>
        </is>
      </c>
      <c r="D30" s="25" t="inlineStr">
        <is>
          <t>1+2</t>
        </is>
      </c>
      <c r="E30" s="25" t="inlineStr">
        <is>
          <t>n/a</t>
        </is>
      </c>
    </row>
    <row r="33">
      <c r="B33" s="11" t="inlineStr">
        <is>
          <t>2.5–2.6  Verdict</t>
        </is>
      </c>
    </row>
    <row r="34">
      <c r="B34" t="inlineStr">
        <is>
          <t>Overall verdict</t>
        </is>
      </c>
      <c r="C34" s="21" t="inlineStr"/>
    </row>
    <row r="35">
      <c r="B35" t="inlineStr">
        <is>
          <t>Reservations / conditions for go-live</t>
        </is>
      </c>
      <c r="C35" s="26" t="n"/>
    </row>
    <row r="36"/>
    <row r="37"/>
  </sheetData>
  <mergeCells count="8">
    <mergeCell ref="C35:F37"/>
    <mergeCell ref="B7:F7"/>
    <mergeCell ref="B6:F6"/>
    <mergeCell ref="B2:F2"/>
    <mergeCell ref="B10:F10"/>
    <mergeCell ref="B3:F3"/>
    <mergeCell ref="B8:F8"/>
    <mergeCell ref="B9:F9"/>
  </mergeCells>
  <dataValidations count="3">
    <dataValidation sqref="D14:D18" showDropDown="0" showInputMessage="0" showErrorMessage="0" allowBlank="1" type="list">
      <formula1>"Y,N"</formula1>
    </dataValidation>
    <dataValidation sqref="F14:F18" showDropDown="0" showInputMessage="0" showErrorMessage="0" allowBlank="1" type="list">
      <formula1>"1,2,3,4,5"</formula1>
    </dataValidation>
    <dataValidation sqref="C34" showDropDown="0" showInputMessage="0" showErrorMessage="0" allowBlank="1" type="list">
      <formula1>"Accepted,Accepted with reservations,Rejected"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/>
  </sheetPr>
  <dimension ref="B2:H38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2">
      <c r="B2" s="2" t="inlineStr">
        <is>
          <t>UAT Dashboard  /  Ipimo ry'ibyageragejwe</t>
        </is>
      </c>
    </row>
    <row r="3">
      <c r="B3" s="3" t="inlineStr">
        <is>
          <t>Live counts of Pass / Fail / Blocked / Not Executed across all test sheets. Do not type in the count cells.</t>
        </is>
      </c>
    </row>
    <row r="5">
      <c r="B5" s="19" t="inlineStr">
        <is>
          <t>Module</t>
        </is>
      </c>
      <c r="C5" s="19" t="inlineStr">
        <is>
          <t>Pass</t>
        </is>
      </c>
      <c r="D5" s="19" t="inlineStr">
        <is>
          <t>Fail</t>
        </is>
      </c>
      <c r="E5" s="19" t="inlineStr">
        <is>
          <t>Blocked</t>
        </is>
      </c>
      <c r="F5" s="19" t="inlineStr">
        <is>
          <t>Not Executed</t>
        </is>
      </c>
      <c r="G5" s="19" t="inlineStr">
        <is>
          <t>Total</t>
        </is>
      </c>
      <c r="H5" s="19" t="inlineStr">
        <is>
          <t>Pass rate</t>
        </is>
      </c>
    </row>
    <row r="6">
      <c r="B6" s="27" t="inlineStr">
        <is>
          <t>Authentication</t>
        </is>
      </c>
      <c r="C6" s="28">
        <f>'Authentication'!D4</f>
        <v/>
      </c>
      <c r="D6" s="28">
        <f>'Authentication'!F4</f>
        <v/>
      </c>
      <c r="E6" s="28">
        <f>'Authentication'!H4</f>
        <v/>
      </c>
      <c r="F6" s="28">
        <f>'Authentication'!J4</f>
        <v/>
      </c>
      <c r="G6" s="28">
        <f>'Authentication'!B4</f>
        <v/>
      </c>
      <c r="H6" s="29">
        <f>IF(G6=0,0,C6/G6)</f>
        <v/>
      </c>
    </row>
    <row r="7">
      <c r="B7" s="30" t="inlineStr">
        <is>
          <t>Catalogue</t>
        </is>
      </c>
      <c r="C7" s="31">
        <f>'Catalogue'!D4</f>
        <v/>
      </c>
      <c r="D7" s="31">
        <f>'Catalogue'!F4</f>
        <v/>
      </c>
      <c r="E7" s="31">
        <f>'Catalogue'!H4</f>
        <v/>
      </c>
      <c r="F7" s="31">
        <f>'Catalogue'!J4</f>
        <v/>
      </c>
      <c r="G7" s="31">
        <f>'Catalogue'!B4</f>
        <v/>
      </c>
      <c r="H7" s="32">
        <f>IF(G7=0,0,C7/G7)</f>
        <v/>
      </c>
    </row>
    <row r="8">
      <c r="B8" s="27" t="inlineStr">
        <is>
          <t>Cart &amp; Discount</t>
        </is>
      </c>
      <c r="C8" s="28">
        <f>'Cart &amp; Discount'!D4</f>
        <v/>
      </c>
      <c r="D8" s="28">
        <f>'Cart &amp; Discount'!F4</f>
        <v/>
      </c>
      <c r="E8" s="28">
        <f>'Cart &amp; Discount'!H4</f>
        <v/>
      </c>
      <c r="F8" s="28">
        <f>'Cart &amp; Discount'!J4</f>
        <v/>
      </c>
      <c r="G8" s="28">
        <f>'Cart &amp; Discount'!B4</f>
        <v/>
      </c>
      <c r="H8" s="29">
        <f>IF(G8=0,0,C8/G8)</f>
        <v/>
      </c>
    </row>
    <row r="9">
      <c r="B9" s="30" t="inlineStr">
        <is>
          <t>Checkout</t>
        </is>
      </c>
      <c r="C9" s="31">
        <f>'Checkout'!D4</f>
        <v/>
      </c>
      <c r="D9" s="31">
        <f>'Checkout'!F4</f>
        <v/>
      </c>
      <c r="E9" s="31">
        <f>'Checkout'!H4</f>
        <v/>
      </c>
      <c r="F9" s="31">
        <f>'Checkout'!J4</f>
        <v/>
      </c>
      <c r="G9" s="31">
        <f>'Checkout'!B4</f>
        <v/>
      </c>
      <c r="H9" s="32">
        <f>IF(G9=0,0,C9/G9)</f>
        <v/>
      </c>
    </row>
    <row r="10">
      <c r="B10" s="27" t="inlineStr">
        <is>
          <t>Wishlist &amp; Orders</t>
        </is>
      </c>
      <c r="C10" s="28">
        <f>'Wishlist &amp; Orders'!D4</f>
        <v/>
      </c>
      <c r="D10" s="28">
        <f>'Wishlist &amp; Orders'!F4</f>
        <v/>
      </c>
      <c r="E10" s="28">
        <f>'Wishlist &amp; Orders'!H4</f>
        <v/>
      </c>
      <c r="F10" s="28">
        <f>'Wishlist &amp; Orders'!J4</f>
        <v/>
      </c>
      <c r="G10" s="28">
        <f>'Wishlist &amp; Orders'!B4</f>
        <v/>
      </c>
      <c r="H10" s="29">
        <f>IF(G10=0,0,C10/G10)</f>
        <v/>
      </c>
    </row>
    <row r="11">
      <c r="B11" s="30" t="inlineStr">
        <is>
          <t>Admin</t>
        </is>
      </c>
      <c r="C11" s="31">
        <f>'Admin'!D4</f>
        <v/>
      </c>
      <c r="D11" s="31">
        <f>'Admin'!F4</f>
        <v/>
      </c>
      <c r="E11" s="31">
        <f>'Admin'!H4</f>
        <v/>
      </c>
      <c r="F11" s="31">
        <f>'Admin'!J4</f>
        <v/>
      </c>
      <c r="G11" s="31">
        <f>'Admin'!B4</f>
        <v/>
      </c>
      <c r="H11" s="32">
        <f>IF(G11=0,0,C11/G11)</f>
        <v/>
      </c>
    </row>
    <row r="12">
      <c r="B12" s="27" t="inlineStr">
        <is>
          <t>Non-functional</t>
        </is>
      </c>
      <c r="C12" s="28">
        <f>'Non-functional'!D4</f>
        <v/>
      </c>
      <c r="D12" s="28">
        <f>'Non-functional'!F4</f>
        <v/>
      </c>
      <c r="E12" s="28">
        <f>'Non-functional'!H4</f>
        <v/>
      </c>
      <c r="F12" s="28">
        <f>'Non-functional'!J4</f>
        <v/>
      </c>
      <c r="G12" s="28">
        <f>'Non-functional'!B4</f>
        <v/>
      </c>
      <c r="H12" s="29">
        <f>IF(G12=0,0,C12/G12)</f>
        <v/>
      </c>
    </row>
    <row r="13">
      <c r="B13" s="33" t="inlineStr">
        <is>
          <t>OVERALL</t>
        </is>
      </c>
      <c r="C13" s="33">
        <f>SUM(C6:C12)</f>
        <v/>
      </c>
      <c r="D13" s="33">
        <f>SUM(D6:D12)</f>
        <v/>
      </c>
      <c r="E13" s="33">
        <f>SUM(E6:E12)</f>
        <v/>
      </c>
      <c r="F13" s="33">
        <f>SUM(F6:F12)</f>
        <v/>
      </c>
      <c r="G13" s="33">
        <f>SUM(G6:G12)</f>
        <v/>
      </c>
      <c r="H13" s="34">
        <f>IF(G13=0,0,C13/G13)</f>
        <v/>
      </c>
    </row>
    <row r="32">
      <c r="B32" s="4" t="inlineStr">
        <is>
          <t>UAT SIGN-OFF  /  KWEMEZA</t>
        </is>
      </c>
    </row>
    <row r="33">
      <c r="B33" s="35" t="inlineStr">
        <is>
          <t>Role</t>
        </is>
      </c>
      <c r="C33" s="35" t="inlineStr">
        <is>
          <t>Name</t>
        </is>
      </c>
      <c r="D33" s="35" t="inlineStr">
        <is>
          <t>Decision</t>
        </is>
      </c>
      <c r="E33" s="35" t="inlineStr">
        <is>
          <t>Signature</t>
        </is>
      </c>
      <c r="F33" s="35" t="inlineStr">
        <is>
          <t>Date</t>
        </is>
      </c>
    </row>
    <row r="34" ht="22" customHeight="1">
      <c r="B34" s="25" t="inlineStr">
        <is>
          <t>Product Owner, Cloud Sphere Solutions</t>
        </is>
      </c>
      <c r="C34" s="21" t="n"/>
      <c r="D34" s="21" t="n"/>
      <c r="E34" s="21" t="n"/>
      <c r="F34" s="21" t="n"/>
    </row>
    <row r="35" ht="22" customHeight="1">
      <c r="B35" s="25" t="inlineStr">
        <is>
          <t>QA Lead</t>
        </is>
      </c>
      <c r="C35" s="21" t="n"/>
      <c r="D35" s="21" t="n"/>
      <c r="E35" s="21" t="n"/>
      <c r="F35" s="21" t="n"/>
    </row>
    <row r="36" ht="22" customHeight="1">
      <c r="B36" s="25" t="inlineStr">
        <is>
          <t>Trainer / Technical authority</t>
        </is>
      </c>
      <c r="C36" s="21" t="n"/>
      <c r="D36" s="21" t="n"/>
      <c r="E36" s="21" t="n"/>
      <c r="F36" s="21" t="n"/>
    </row>
    <row r="38">
      <c r="B38" s="17" t="inlineStr">
        <is>
          <t>Sign-off authorises (or refuses) release to the integrated summative demo / production-like cluster. It is not a developer “done”.</t>
        </is>
      </c>
    </row>
  </sheetData>
  <mergeCells count="4">
    <mergeCell ref="B32:F32"/>
    <mergeCell ref="B3:H3"/>
    <mergeCell ref="B2:H2"/>
    <mergeCell ref="B38:F38"/>
  </mergeCells>
  <dataValidations count="1">
    <dataValidation sqref="D34:D36" showDropDown="0" showInputMessage="0" showErrorMessage="0" allowBlank="1" type="list">
      <formula1>"Accept,Accept with reservations,Reject"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2:O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2" ht="22" customHeight="1">
      <c r="A2" s="2" t="inlineStr">
        <is>
          <t>Authentication  /  Kwinjira</t>
        </is>
      </c>
    </row>
    <row r="3" ht="32" customHeight="1">
      <c r="A3" s="18" t="inlineStr">
        <is>
          <t>Welcome, PIN/password, lock-out, registration, session and logging. Maps to UC-CS-03/04 and FR-AUTH-*.</t>
        </is>
      </c>
    </row>
    <row r="4">
      <c r="A4" s="36" t="inlineStr">
        <is>
          <t>Total</t>
        </is>
      </c>
      <c r="B4" s="36">
        <f>COUNTA(B6:B17)</f>
        <v/>
      </c>
      <c r="C4" s="36" t="inlineStr">
        <is>
          <t>Pass</t>
        </is>
      </c>
      <c r="D4" s="36">
        <f>COUNTIF(K6:K17,"Pass")</f>
        <v/>
      </c>
      <c r="E4" s="36" t="inlineStr">
        <is>
          <t>Fail</t>
        </is>
      </c>
      <c r="F4" s="36">
        <f>COUNTIF(K6:K17,"Fail")</f>
        <v/>
      </c>
      <c r="G4" s="36" t="inlineStr">
        <is>
          <t>Blocked</t>
        </is>
      </c>
      <c r="H4" s="36">
        <f>COUNTIF(K6:K17,"Blocked")</f>
        <v/>
      </c>
      <c r="I4" s="36" t="inlineStr">
        <is>
          <t>Not Executed</t>
        </is>
      </c>
      <c r="J4" s="36">
        <f>COUNTIF(K6:K17,"Not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AU-001</t>
        </is>
      </c>
      <c r="C6" s="39" t="inlineStr">
        <is>
          <t>Authentication</t>
        </is>
      </c>
      <c r="D6" s="39" t="inlineStr">
        <is>
          <t>Welcome</t>
        </is>
      </c>
      <c r="E6" s="39" t="inlineStr">
        <is>
          <t>Login page loads (smoke)</t>
        </is>
      </c>
      <c r="F6" s="39" t="inlineStr">
        <is>
          <t>UAT cluster healthy.</t>
        </is>
      </c>
      <c r="G6" s="39" t="inlineStr">
        <is>
          <t>Open /login.</t>
        </is>
      </c>
      <c r="H6" s="39" t="inlineStr">
        <is>
          <t>Email and password fields and Sign in button are visible; labelled for assistive tech.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AU-002</t>
        </is>
      </c>
      <c r="C7" s="40" t="inlineStr">
        <is>
          <t>Authentication</t>
        </is>
      </c>
      <c r="D7" s="40" t="inlineStr">
        <is>
          <t>Happy path</t>
        </is>
      </c>
      <c r="E7" s="40" t="inlineStr">
        <is>
          <t>Registered customer logs in</t>
        </is>
      </c>
      <c r="F7" s="40" t="inlineStr">
        <is>
          <t>demo@cloudsphere.rw exists (Appendix B).</t>
        </is>
      </c>
      <c r="G7" s="40" t="inlineStr">
        <is>
          <t>1. Open /login.
2. Enter demo email + correct password.
3. Submit.</t>
        </is>
      </c>
      <c r="H7" s="40" t="inlineStr">
        <is>
          <t>Redirect to previous page or home; session cookie set; user menu shows email.</t>
        </is>
      </c>
      <c r="I7" s="40" t="inlineStr"/>
      <c r="J7" s="40" t="inlineStr">
        <is>
          <t>Critical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>
        <is>
          <t>UC-CS-04 main flow</t>
        </is>
      </c>
    </row>
    <row r="8" ht="48" customHeight="1">
      <c r="A8" s="39" t="n">
        <v>3</v>
      </c>
      <c r="B8" s="39" t="inlineStr">
        <is>
          <t>AU-003</t>
        </is>
      </c>
      <c r="C8" s="39" t="inlineStr">
        <is>
          <t>Authentication</t>
        </is>
      </c>
      <c r="D8" s="39" t="inlineStr">
        <is>
          <t>Invalid password</t>
        </is>
      </c>
      <c r="E8" s="39" t="inlineStr">
        <is>
          <t>Wrong password — generic error</t>
        </is>
      </c>
      <c r="F8" s="39" t="inlineStr">
        <is>
          <t>demo@cloudsphere.rw exists.</t>
        </is>
      </c>
      <c r="G8" s="39" t="inlineStr">
        <is>
          <t>Submit correct email + wrong password.</t>
        </is>
      </c>
      <c r="H8" s="39" t="inlineStr">
        <is>
          <t>Generic error; no stack trace; does not say “password incorrect” vs “email unknown”.</t>
        </is>
      </c>
      <c r="I8" s="39" t="inlineStr"/>
      <c r="J8" s="39" t="inlineStr">
        <is>
          <t>Critical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>
        <is>
          <t>UC-CS-04 3a / FND-CSS-021 anti-pattern forbidden</t>
        </is>
      </c>
    </row>
    <row r="9" ht="48" customHeight="1">
      <c r="A9" s="40" t="n">
        <v>4</v>
      </c>
      <c r="B9" s="40" t="inlineStr">
        <is>
          <t>AU-004</t>
        </is>
      </c>
      <c r="C9" s="40" t="inlineStr">
        <is>
          <t>Authentication</t>
        </is>
      </c>
      <c r="D9" s="40" t="inlineStr">
        <is>
          <t>Unknown email</t>
        </is>
      </c>
      <c r="E9" s="40" t="inlineStr">
        <is>
          <t>Unknown email — same generic error</t>
        </is>
      </c>
      <c r="F9" s="40" t="inlineStr">
        <is>
          <t>Email not in store.</t>
        </is>
      </c>
      <c r="G9" s="40" t="inlineStr">
        <is>
          <t>Submit nobody@cloudsphere.rw + any password.</t>
        </is>
      </c>
      <c r="H9" s="40" t="inlineStr">
        <is>
          <t>Same generic error as AU-003 (no user enumeration).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AU-005</t>
        </is>
      </c>
      <c r="C10" s="39" t="inlineStr">
        <is>
          <t>Authentication</t>
        </is>
      </c>
      <c r="D10" s="39" t="inlineStr">
        <is>
          <t>Lock-out</t>
        </is>
      </c>
      <c r="E10" s="39" t="inlineStr">
        <is>
          <t>Account locks after 3 wrong passwords</t>
        </is>
      </c>
      <c r="F10" s="39" t="inlineStr">
        <is>
          <t>Fresh failed-attempt counter.</t>
        </is>
      </c>
      <c r="G10" s="39" t="inlineStr">
        <is>
          <t>Submit wrong password three times in a row for demo@.</t>
        </is>
      </c>
      <c r="H10" s="39" t="inlineStr">
        <is>
          <t>Third attempt locks 30 min; security email requested; further logins denied.</t>
        </is>
      </c>
      <c r="I10" s="39" t="inlineStr"/>
      <c r="J10" s="39" t="inlineStr">
        <is>
          <t>Critical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AU-006</t>
        </is>
      </c>
      <c r="C11" s="40" t="inlineStr">
        <is>
          <t>Authentication</t>
        </is>
      </c>
      <c r="D11" s="40" t="inlineStr">
        <is>
          <t>Locked user</t>
        </is>
      </c>
      <c r="E11" s="40" t="inlineStr">
        <is>
          <t>Already-locked account cannot log in</t>
        </is>
      </c>
      <c r="F11" s="40" t="inlineStr">
        <is>
          <t>locked@cloudsphere.rw is locked.</t>
        </is>
      </c>
      <c r="G11" s="40" t="inlineStr">
        <is>
          <t>Submit correct password for locked user.</t>
        </is>
      </c>
      <c r="H11" s="40" t="inlineStr">
        <is>
          <t>Denied; message does not confirm the email exists.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AU-007</t>
        </is>
      </c>
      <c r="C12" s="39" t="inlineStr">
        <is>
          <t>Authentication</t>
        </is>
      </c>
      <c r="D12" s="39" t="inlineStr">
        <is>
          <t>Blank password</t>
        </is>
      </c>
      <c r="E12" s="39" t="inlineStr">
        <is>
          <t>Blank password client validation</t>
        </is>
      </c>
      <c r="F12" s="39" t="inlineStr">
        <is>
          <t>Login form.</t>
        </is>
      </c>
      <c r="G12" s="39" t="inlineStr">
        <is>
          <t>Fill email, leave password empty, click Sign in.</t>
        </is>
      </c>
      <c r="H12" s="39" t="inlineStr">
        <is>
          <t>“password is required” shown (query-by-label behaviour).</t>
        </is>
      </c>
      <c r="I12" s="39" t="inlineStr"/>
      <c r="J12" s="39" t="inlineStr">
        <is>
          <t>Medium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>
        <is>
          <t>SRS FR-AUTH-08 / RTL example</t>
        </is>
      </c>
    </row>
    <row r="13" ht="48" customHeight="1">
      <c r="A13" s="40" t="n">
        <v>8</v>
      </c>
      <c r="B13" s="40" t="inlineStr">
        <is>
          <t>AU-008</t>
        </is>
      </c>
      <c r="C13" s="40" t="inlineStr">
        <is>
          <t>Authentication</t>
        </is>
      </c>
      <c r="D13" s="40" t="inlineStr">
        <is>
          <t>Register</t>
        </is>
      </c>
      <c r="E13" s="40" t="inlineStr">
        <is>
          <t>Register — happy path</t>
        </is>
      </c>
      <c r="F13" s="40" t="inlineStr">
        <is>
          <t>New unique email.</t>
        </is>
      </c>
      <c r="G13" s="40" t="inlineStr">
        <is>
          <t>Complete register with valid 07X phone and 8+ char password; submit.</t>
        </is>
      </c>
      <c r="H13" s="40" t="inlineStr">
        <is>
          <t>Account created; user signed in; welcome email requested.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AU-009</t>
        </is>
      </c>
      <c r="C14" s="39" t="inlineStr">
        <is>
          <t>Authentication</t>
        </is>
      </c>
      <c r="D14" s="39" t="inlineStr">
        <is>
          <t>Register</t>
        </is>
      </c>
      <c r="E14" s="39" t="inlineStr">
        <is>
          <t>Register — duplicate email</t>
        </is>
      </c>
      <c r="F14" s="39" t="inlineStr">
        <is>
          <t>demo@ already exists.</t>
        </is>
      </c>
      <c r="G14" s="39" t="inlineStr">
        <is>
          <t>Register with demo@cloudsphere.rw.</t>
        </is>
      </c>
      <c r="H14" s="39" t="inlineStr">
        <is>
          <t>Rejected; offer Log in; no second account.</t>
        </is>
      </c>
      <c r="I14" s="39" t="inlineStr"/>
      <c r="J14" s="39" t="inlineStr">
        <is>
          <t>High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/>
    </row>
    <row r="15" ht="48" customHeight="1">
      <c r="A15" s="40" t="n">
        <v>10</v>
      </c>
      <c r="B15" s="40" t="inlineStr">
        <is>
          <t>AU-010</t>
        </is>
      </c>
      <c r="C15" s="40" t="inlineStr">
        <is>
          <t>Authentication</t>
        </is>
      </c>
      <c r="D15" s="40" t="inlineStr">
        <is>
          <t>Logging</t>
        </is>
      </c>
      <c r="E15" s="40" t="inlineStr">
        <is>
          <t>Password never appears in logs</t>
        </is>
      </c>
      <c r="F15" s="40" t="inlineStr">
        <is>
          <t>Access to API logs.</t>
        </is>
      </c>
      <c r="G15" s="40" t="inlineStr">
        <is>
          <t>Run AU-002; inspect logs for the password string.</t>
        </is>
      </c>
      <c r="H15" s="40" t="inlineStr">
        <is>
          <t>Logs show inputLen only; password absent.</t>
        </is>
      </c>
      <c r="I15" s="40" t="inlineStr"/>
      <c r="J15" s="40" t="inlineStr">
        <is>
          <t>High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>
        <is>
          <t>SEC-08</t>
        </is>
      </c>
    </row>
    <row r="16" ht="48" customHeight="1">
      <c r="A16" s="39" t="n">
        <v>11</v>
      </c>
      <c r="B16" s="39" t="inlineStr">
        <is>
          <t>AU-011</t>
        </is>
      </c>
      <c r="C16" s="39" t="inlineStr">
        <is>
          <t>Authentication</t>
        </is>
      </c>
      <c r="D16" s="39" t="inlineStr">
        <is>
          <t>Logout</t>
        </is>
      </c>
      <c r="E16" s="39" t="inlineStr">
        <is>
          <t>Logout invalidates session</t>
        </is>
      </c>
      <c r="F16" s="39" t="inlineStr">
        <is>
          <t>Logged in.</t>
        </is>
      </c>
      <c r="G16" s="39" t="inlineStr">
        <is>
          <t>Logout; press Back; hit /account.</t>
        </is>
      </c>
      <c r="H16" s="39" t="inlineStr">
        <is>
          <t>Redirected to login; old cookie unusable.</t>
        </is>
      </c>
      <c r="I16" s="39" t="inlineStr"/>
      <c r="J16" s="39" t="inlineStr">
        <is>
          <t>High</t>
        </is>
      </c>
      <c r="K16" s="39" t="inlineStr">
        <is>
          <t>Not Executed</t>
        </is>
      </c>
      <c r="L16" s="39" t="inlineStr"/>
      <c r="M16" s="39" t="inlineStr"/>
      <c r="N16" s="39" t="inlineStr"/>
      <c r="O16" s="39" t="inlineStr"/>
    </row>
    <row r="17" ht="48" customHeight="1">
      <c r="A17" s="40" t="n">
        <v>12</v>
      </c>
      <c r="B17" s="40" t="inlineStr">
        <is>
          <t>AU-012</t>
        </is>
      </c>
      <c r="C17" s="40" t="inlineStr">
        <is>
          <t>Authentication</t>
        </is>
      </c>
      <c r="D17" s="40" t="inlineStr">
        <is>
          <t>Phone BVA</t>
        </is>
      </c>
      <c r="E17" s="40" t="inlineStr">
        <is>
          <t>Register rejects 9-digit phone</t>
        </is>
      </c>
      <c r="F17" s="40" t="inlineStr">
        <is>
          <t>Registration form.</t>
        </is>
      </c>
      <c r="G17" s="40" t="inlineStr">
        <is>
          <t>Enter 078123456 (9 digits) as phone.</t>
        </is>
      </c>
      <c r="H17" s="40" t="inlineStr">
        <is>
          <t>Rejected (Rwandan 07X 10-digit rule).</t>
        </is>
      </c>
      <c r="I17" s="40" t="inlineStr"/>
      <c r="J17" s="40" t="inlineStr">
        <is>
          <t>Medium</t>
        </is>
      </c>
      <c r="K17" s="40" t="inlineStr">
        <is>
          <t>Not Executed</t>
        </is>
      </c>
      <c r="L17" s="40" t="inlineStr"/>
      <c r="M17" s="40" t="inlineStr"/>
      <c r="N17" s="40" t="inlineStr"/>
      <c r="O17" s="40" t="inlineStr">
        <is>
          <t>Chapter 1 Exercise 30</t>
        </is>
      </c>
    </row>
  </sheetData>
  <autoFilter ref="A5:O17"/>
  <mergeCells count="2">
    <mergeCell ref="A3:O3"/>
    <mergeCell ref="A2:O2"/>
  </mergeCells>
  <dataValidations count="2">
    <dataValidation sqref="K6:K17" showDropDown="0" showInputMessage="0" showErrorMessage="0" allowBlank="0" type="list">
      <formula1>"Pass,Fail,Blocked,Not Executed"</formula1>
    </dataValidation>
    <dataValidation sqref="J6:J17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Authentication</oddHeader>
    <oddFooter>&amp;RCSS-UAT-2026-001  · 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2:O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2" ht="22" customHeight="1">
      <c r="A2" s="2" t="inlineStr">
        <is>
          <t>Catalogue  /  Urutonde rw'ibicuruzwa</t>
        </is>
      </c>
    </row>
    <row r="3" ht="32" customHeight="1">
      <c r="A3" s="18" t="inlineStr">
        <is>
          <t>Smoke, search, published vs hidden, stock badges and product API. Maps to UC-CS-01/02.</t>
        </is>
      </c>
    </row>
    <row r="4">
      <c r="A4" s="36" t="inlineStr">
        <is>
          <t>Total</t>
        </is>
      </c>
      <c r="B4" s="36">
        <f>COUNTA(B6:B15)</f>
        <v/>
      </c>
      <c r="C4" s="36" t="inlineStr">
        <is>
          <t>Pass</t>
        </is>
      </c>
      <c r="D4" s="36">
        <f>COUNTIF(K6:K15,"Pass")</f>
        <v/>
      </c>
      <c r="E4" s="36" t="inlineStr">
        <is>
          <t>Fail</t>
        </is>
      </c>
      <c r="F4" s="36">
        <f>COUNTIF(K6:K15,"Fail")</f>
        <v/>
      </c>
      <c r="G4" s="36" t="inlineStr">
        <is>
          <t>Blocked</t>
        </is>
      </c>
      <c r="H4" s="36">
        <f>COUNTIF(K6:K15,"Blocked")</f>
        <v/>
      </c>
      <c r="I4" s="36" t="inlineStr">
        <is>
          <t>Not Executed</t>
        </is>
      </c>
      <c r="J4" s="36">
        <f>COUNTIF(K6:K15,"Not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CAT-001</t>
        </is>
      </c>
      <c r="C6" s="39" t="inlineStr">
        <is>
          <t>Catalogue</t>
        </is>
      </c>
      <c r="D6" s="39" t="inlineStr">
        <is>
          <t>Smoke</t>
        </is>
      </c>
      <c r="E6" s="39" t="inlineStr">
        <is>
          <t>Home page loads</t>
        </is>
      </c>
      <c r="F6" s="39" t="inlineStr">
        <is>
          <t>UAT up.</t>
        </is>
      </c>
      <c r="G6" s="39" t="inlineStr">
        <is>
          <t>GET /</t>
        </is>
      </c>
      <c r="H6" s="39" t="inlineStr">
        <is>
          <t>Home renders with at least the published catalogue region. If this fails, stop the cycle.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>
        <is>
          <t>STLC Phase 4 exit / FR-CAT-04</t>
        </is>
      </c>
    </row>
    <row r="7" ht="48" customHeight="1">
      <c r="A7" s="40" t="n">
        <v>2</v>
      </c>
      <c r="B7" s="40" t="inlineStr">
        <is>
          <t>CAT-002</t>
        </is>
      </c>
      <c r="C7" s="40" t="inlineStr">
        <is>
          <t>Catalogue</t>
        </is>
      </c>
      <c r="D7" s="40" t="inlineStr">
        <is>
          <t>List</t>
        </is>
      </c>
      <c r="E7" s="40" t="inlineStr">
        <is>
          <t>Published products listed with RWF prices</t>
        </is>
      </c>
      <c r="F7" s="40" t="inlineStr">
        <is>
          <t>USB-C-01 seeded.</t>
        </is>
      </c>
      <c r="G7" s="40" t="inlineStr">
        <is>
          <t>Open catalogue.</t>
        </is>
      </c>
      <c r="H7" s="40" t="inlineStr">
        <is>
          <t>USB-C-01 visible; price 15,000 RWF integer.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CAT-003</t>
        </is>
      </c>
      <c r="C8" s="39" t="inlineStr">
        <is>
          <t>Catalogue</t>
        </is>
      </c>
      <c r="D8" s="39" t="inlineStr">
        <is>
          <t>Search</t>
        </is>
      </c>
      <c r="E8" s="39" t="inlineStr">
        <is>
          <t>Search by name — hit</t>
        </is>
      </c>
      <c r="F8" s="39" t="inlineStr">
        <is>
          <t>USB-C-01 published.</t>
        </is>
      </c>
      <c r="G8" s="39" t="inlineStr">
        <is>
          <t>Search “USB”.</t>
        </is>
      </c>
      <c r="H8" s="39" t="inlineStr">
        <is>
          <t>USB-C-01 in results.</t>
        </is>
      </c>
      <c r="I8" s="39" t="inlineStr"/>
      <c r="J8" s="39" t="inlineStr">
        <is>
          <t>High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CAT-004</t>
        </is>
      </c>
      <c r="C9" s="40" t="inlineStr">
        <is>
          <t>Catalogue</t>
        </is>
      </c>
      <c r="D9" s="40" t="inlineStr">
        <is>
          <t>Search</t>
        </is>
      </c>
      <c r="E9" s="40" t="inlineStr">
        <is>
          <t>Search — zero hits empty state</t>
        </is>
      </c>
      <c r="F9" s="40" t="inlineStr">
        <is>
          <t>None.</t>
        </is>
      </c>
      <c r="G9" s="40" t="inlineStr">
        <is>
          <t>Search “zzzz-no-sku”.</t>
        </is>
      </c>
      <c r="H9" s="40" t="inlineStr">
        <is>
          <t>“No products match your search.” not a blank page.</t>
        </is>
      </c>
      <c r="I9" s="40" t="inlineStr"/>
      <c r="J9" s="40" t="inlineStr">
        <is>
          <t>Medium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CAT-005</t>
        </is>
      </c>
      <c r="C10" s="39" t="inlineStr">
        <is>
          <t>Catalogue</t>
        </is>
      </c>
      <c r="D10" s="39" t="inlineStr">
        <is>
          <t>Unpublished</t>
        </is>
      </c>
      <c r="E10" s="39" t="inlineStr">
        <is>
          <t>Unpublished SKU hidden from guest</t>
        </is>
      </c>
      <c r="F10" s="39" t="inlineStr">
        <is>
          <t>HIDDEN-01 unpublished.</t>
        </is>
      </c>
      <c r="G10" s="39" t="inlineStr">
        <is>
          <t>Search HIDDEN-01 and open /products/HIDDEN-01.</t>
        </is>
      </c>
      <c r="H10" s="39" t="inlineStr">
        <is>
          <t>Not in search; detail is 404.</t>
        </is>
      </c>
      <c r="I10" s="39" t="inlineStr"/>
      <c r="J10" s="39" t="inlineStr">
        <is>
          <t>High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CAT-006</t>
        </is>
      </c>
      <c r="C11" s="40" t="inlineStr">
        <is>
          <t>Catalogue</t>
        </is>
      </c>
      <c r="D11" s="40" t="inlineStr">
        <is>
          <t>Detail</t>
        </is>
      </c>
      <c r="E11" s="40" t="inlineStr">
        <is>
          <t>Product detail in-stock</t>
        </is>
      </c>
      <c r="F11" s="40" t="inlineStr">
        <is>
          <t>USB-C-01 stockQty=20.</t>
        </is>
      </c>
      <c r="G11" s="40" t="inlineStr">
        <is>
          <t>Open product.</t>
        </is>
      </c>
      <c r="H11" s="40" t="inlineStr">
        <is>
          <t>Add to cart enabled; stock badge in stock.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CAT-007</t>
        </is>
      </c>
      <c r="C12" s="39" t="inlineStr">
        <is>
          <t>Catalogue</t>
        </is>
      </c>
      <c r="D12" s="39" t="inlineStr">
        <is>
          <t>Detail</t>
        </is>
      </c>
      <c r="E12" s="39" t="inlineStr">
        <is>
          <t>Out-of-stock disables add</t>
        </is>
      </c>
      <c r="F12" s="39" t="inlineStr">
        <is>
          <t>OOS-01 stockQty=0.</t>
        </is>
      </c>
      <c r="G12" s="39" t="inlineStr">
        <is>
          <t>Open OOS-01.</t>
        </is>
      </c>
      <c r="H12" s="39" t="inlineStr">
        <is>
          <t>Add to cart and wishlist disabled.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CAT-008</t>
        </is>
      </c>
      <c r="C13" s="40" t="inlineStr">
        <is>
          <t>Catalogue</t>
        </is>
      </c>
      <c r="D13" s="40" t="inlineStr">
        <is>
          <t>API</t>
        </is>
      </c>
      <c r="E13" s="40" t="inlineStr">
        <is>
          <t>Unknown product id returns 404</t>
        </is>
      </c>
      <c r="F13" s="40" t="inlineStr">
        <is>
          <t>API reachable.</t>
        </is>
      </c>
      <c r="G13" s="40" t="inlineStr">
        <is>
          <t>GET /api/products/does-not-exist</t>
        </is>
      </c>
      <c r="H13" s="40" t="inlineStr">
        <is>
          <t>HTTP 404 JSON; no stack trace.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CAT-009</t>
        </is>
      </c>
      <c r="C14" s="39" t="inlineStr">
        <is>
          <t>Catalogue</t>
        </is>
      </c>
      <c r="D14" s="39" t="inlineStr">
        <is>
          <t>Health</t>
        </is>
      </c>
      <c r="E14" s="39" t="inlineStr">
        <is>
          <t>/health ready for smoke</t>
        </is>
      </c>
      <c r="F14" s="39" t="inlineStr">
        <is>
          <t>Cluster up.</t>
        </is>
      </c>
      <c r="G14" s="39" t="inlineStr">
        <is>
          <t>GET /health or /api/health</t>
        </is>
      </c>
      <c r="H14" s="39" t="inlineStr">
        <is>
          <t>200; does not dump library versions.</t>
        </is>
      </c>
      <c r="I14" s="39" t="inlineStr"/>
      <c r="J14" s="39" t="inlineStr">
        <is>
          <t>High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/>
    </row>
    <row r="15" ht="48" customHeight="1">
      <c r="A15" s="40" t="n">
        <v>10</v>
      </c>
      <c r="B15" s="40" t="inlineStr">
        <is>
          <t>CAT-010</t>
        </is>
      </c>
      <c r="C15" s="40" t="inlineStr">
        <is>
          <t>Catalogue</t>
        </is>
      </c>
      <c r="D15" s="40" t="inlineStr">
        <is>
          <t>Pagination</t>
        </is>
      </c>
      <c r="E15" s="40" t="inlineStr">
        <is>
          <t>Catalogue paginates at 20</t>
        </is>
      </c>
      <c r="F15" s="40" t="inlineStr">
        <is>
          <t>&gt;20 published products (seed extra if needed).</t>
        </is>
      </c>
      <c r="G15" s="40" t="inlineStr">
        <is>
          <t>Open page 1 then 2.</t>
        </is>
      </c>
      <c r="H15" s="40" t="inlineStr">
        <is>
          <t>20 items page 1; remainder on page 2.</t>
        </is>
      </c>
      <c r="I15" s="40" t="inlineStr"/>
      <c r="J15" s="40" t="inlineStr">
        <is>
          <t>Medium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</sheetData>
  <autoFilter ref="A5:O15"/>
  <mergeCells count="2">
    <mergeCell ref="A3:O3"/>
    <mergeCell ref="A2:O2"/>
  </mergeCells>
  <dataValidations count="2">
    <dataValidation sqref="K6:K15" showDropDown="0" showInputMessage="0" showErrorMessage="0" allowBlank="0" type="list">
      <formula1>"Pass,Fail,Blocked,Not Executed"</formula1>
    </dataValidation>
    <dataValidation sqref="J6:J15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Catalogue</oddHeader>
    <oddFooter>&amp;RCSS-UAT-2026-001  · 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2:O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2" ht="22" customHeight="1">
      <c r="A2" s="2" t="inlineStr">
        <is>
          <t>Cart &amp; Discount  /  Agatebo n'igabanuka</t>
        </is>
      </c>
    </row>
    <row r="3" ht="32" customHeight="1">
      <c r="A3" s="18" t="inlineStr">
        <is>
          <t>Cart merge, EP/BVA on discount codes, 10% qty rule, free-shipping decision table. Maps to UC-CS-05/06.</t>
        </is>
      </c>
    </row>
    <row r="4">
      <c r="A4" s="36" t="inlineStr">
        <is>
          <t>Total</t>
        </is>
      </c>
      <c r="B4" s="36">
        <f>COUNTA(B6:B19)</f>
        <v/>
      </c>
      <c r="C4" s="36" t="inlineStr">
        <is>
          <t>Pass</t>
        </is>
      </c>
      <c r="D4" s="36">
        <f>COUNTIF(K6:K19,"Pass")</f>
        <v/>
      </c>
      <c r="E4" s="36" t="inlineStr">
        <is>
          <t>Fail</t>
        </is>
      </c>
      <c r="F4" s="36">
        <f>COUNTIF(K6:K19,"Fail")</f>
        <v/>
      </c>
      <c r="G4" s="36" t="inlineStr">
        <is>
          <t>Blocked</t>
        </is>
      </c>
      <c r="H4" s="36">
        <f>COUNTIF(K6:K19,"Blocked")</f>
        <v/>
      </c>
      <c r="I4" s="36" t="inlineStr">
        <is>
          <t>Not Executed</t>
        </is>
      </c>
      <c r="J4" s="36">
        <f>COUNTIF(K6:K19,"Not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CART-001</t>
        </is>
      </c>
      <c r="C6" s="39" t="inlineStr">
        <is>
          <t>Cart</t>
        </is>
      </c>
      <c r="D6" s="39" t="inlineStr">
        <is>
          <t>Add</t>
        </is>
      </c>
      <c r="E6" s="39" t="inlineStr">
        <is>
          <t>Add in-stock item to cart</t>
        </is>
      </c>
      <c r="F6" s="39" t="inlineStr">
        <is>
          <t>USB-C-01 in stock.</t>
        </is>
      </c>
      <c r="G6" s="39" t="inlineStr">
        <is>
          <t>Add qty 1 from detail.</t>
        </is>
      </c>
      <c r="H6" s="39" t="inlineStr">
        <is>
          <t>Cart shows 1 × USB-C-01; confirmation.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CART-002</t>
        </is>
      </c>
      <c r="C7" s="40" t="inlineStr">
        <is>
          <t>Cart</t>
        </is>
      </c>
      <c r="D7" s="40" t="inlineStr">
        <is>
          <t>Qty</t>
        </is>
      </c>
      <c r="E7" s="40" t="inlineStr">
        <is>
          <t>Qty greater than stock rejected</t>
        </is>
      </c>
      <c r="F7" s="40" t="inlineStr">
        <is>
          <t>stockQty=20.</t>
        </is>
      </c>
      <c r="G7" s="40" t="inlineStr">
        <is>
          <t>Add qty 21.</t>
        </is>
      </c>
      <c r="H7" s="40" t="inlineStr">
        <is>
          <t>Rejected; remaining 20 shown; cart unchanged.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CART-003</t>
        </is>
      </c>
      <c r="C8" s="39" t="inlineStr">
        <is>
          <t>Cart</t>
        </is>
      </c>
      <c r="D8" s="39" t="inlineStr">
        <is>
          <t>Merge</t>
        </is>
      </c>
      <c r="E8" s="39" t="inlineStr">
        <is>
          <t>Anonymous cart merges on login</t>
        </is>
      </c>
      <c r="F8" s="39" t="inlineStr">
        <is>
          <t>Guest cart has USB-C-01.</t>
        </is>
      </c>
      <c r="G8" s="39" t="inlineStr">
        <is>
          <t>Log in as demo@.</t>
        </is>
      </c>
      <c r="H8" s="39" t="inlineStr">
        <is>
          <t>Cart retained; no duplicate SKU lines.</t>
        </is>
      </c>
      <c r="I8" s="39" t="inlineStr"/>
      <c r="J8" s="39" t="inlineStr">
        <is>
          <t>High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CART-004</t>
        </is>
      </c>
      <c r="C9" s="40" t="inlineStr">
        <is>
          <t>Cart</t>
        </is>
      </c>
      <c r="D9" s="40" t="inlineStr">
        <is>
          <t>Totals</t>
        </is>
      </c>
      <c r="E9" s="40" t="inlineStr">
        <is>
          <t>Line totals = qty × unit price</t>
        </is>
      </c>
      <c r="F9" s="40" t="inlineStr">
        <is>
          <t>2 × 15,000 in cart.</t>
        </is>
      </c>
      <c r="G9" s="40" t="inlineStr">
        <is>
          <t>Open cart.</t>
        </is>
      </c>
      <c r="H9" s="40" t="inlineStr">
        <is>
          <t>Subtotal 30,000 RWF before shipping/discount.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CART-005</t>
        </is>
      </c>
      <c r="C10" s="39" t="inlineStr">
        <is>
          <t>Discount</t>
        </is>
      </c>
      <c r="D10" s="39" t="inlineStr">
        <is>
          <t>EP P1</t>
        </is>
      </c>
      <c r="E10" s="39" t="inlineStr">
        <is>
          <t>Code length 4 rejected</t>
        </is>
      </c>
      <c r="F10" s="39" t="inlineStr">
        <is>
          <t>Cart non-empty.</t>
        </is>
      </c>
      <c r="G10" s="39" t="inlineStr">
        <is>
          <t>Apply AB12.</t>
        </is>
      </c>
      <c r="H10" s="39" t="inlineStr">
        <is>
          <t>“code must be 5–10 characters”; totals unchanged.</t>
        </is>
      </c>
      <c r="I10" s="39" t="inlineStr"/>
      <c r="J10" s="39" t="inlineStr">
        <is>
          <t>High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>
        <is>
          <t>Chapter 1 §7.1 P1</t>
        </is>
      </c>
    </row>
    <row r="11" ht="48" customHeight="1">
      <c r="A11" s="40" t="n">
        <v>6</v>
      </c>
      <c r="B11" s="40" t="inlineStr">
        <is>
          <t>CART-006</t>
        </is>
      </c>
      <c r="C11" s="40" t="inlineStr">
        <is>
          <t>Discount</t>
        </is>
      </c>
      <c r="D11" s="40" t="inlineStr">
        <is>
          <t>EP P2</t>
        </is>
      </c>
      <c r="E11" s="40" t="inlineStr">
        <is>
          <t>Valid length SAVE2026 accepted for further check</t>
        </is>
      </c>
      <c r="F11" s="40" t="inlineStr">
        <is>
          <t>Active code SAVE2026.</t>
        </is>
      </c>
      <c r="G11" s="40" t="inlineStr">
        <is>
          <t>Apply SAVE2026.</t>
        </is>
      </c>
      <c r="H11" s="40" t="inlineStr">
        <is>
          <t>Accepted or applied per remaining rules; not a length error.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CART-007</t>
        </is>
      </c>
      <c r="C12" s="39" t="inlineStr">
        <is>
          <t>Discount</t>
        </is>
      </c>
      <c r="D12" s="39" t="inlineStr">
        <is>
          <t>EP P3</t>
        </is>
      </c>
      <c r="E12" s="39" t="inlineStr">
        <is>
          <t>Code length 18 rejected</t>
        </is>
      </c>
      <c r="F12" s="39" t="inlineStr">
        <is>
          <t>Cart non-empty.</t>
        </is>
      </c>
      <c r="G12" s="39" t="inlineStr">
        <is>
          <t>Apply SAVE2026SUMMERBIG.</t>
        </is>
      </c>
      <c r="H12" s="39" t="inlineStr">
        <is>
          <t>Length error; totals unchanged.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CART-008</t>
        </is>
      </c>
      <c r="C13" s="40" t="inlineStr">
        <is>
          <t>Discount</t>
        </is>
      </c>
      <c r="D13" s="40" t="inlineStr">
        <is>
          <t>EP P4</t>
        </is>
      </c>
      <c r="E13" s="40" t="inlineStr">
        <is>
          <t>Non-alphanumeric code rejected</t>
        </is>
      </c>
      <c r="F13" s="40" t="inlineStr">
        <is>
          <t>Cart non-empty.</t>
        </is>
      </c>
      <c r="G13" s="40" t="inlineStr">
        <is>
          <t>Apply SAVE-25!.</t>
        </is>
      </c>
      <c r="H13" s="40" t="inlineStr">
        <is>
          <t>“code contains invalid characters”.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CART-009</t>
        </is>
      </c>
      <c r="C14" s="39" t="inlineStr">
        <is>
          <t>Discount</t>
        </is>
      </c>
      <c r="D14" s="39" t="inlineStr">
        <is>
          <t>BVA</t>
        </is>
      </c>
      <c r="E14" s="39" t="inlineStr">
        <is>
          <t>Length 5 accepted / 11 rejected</t>
        </is>
      </c>
      <c r="F14" s="39" t="inlineStr">
        <is>
          <t>A 5-char active code exists or use SAVE2 if seeded.</t>
        </is>
      </c>
      <c r="G14" s="39" t="inlineStr">
        <is>
          <t>Try 5-char then 11-char.</t>
        </is>
      </c>
      <c r="H14" s="39" t="inlineStr">
        <is>
          <t>5 accepted structurally; 11 rejected.</t>
        </is>
      </c>
      <c r="I14" s="39" t="inlineStr"/>
      <c r="J14" s="39" t="inlineStr">
        <is>
          <t>High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/>
    </row>
    <row r="15" ht="48" customHeight="1">
      <c r="A15" s="40" t="n">
        <v>10</v>
      </c>
      <c r="B15" s="40" t="inlineStr">
        <is>
          <t>CART-010</t>
        </is>
      </c>
      <c r="C15" s="40" t="inlineStr">
        <is>
          <t>Discount</t>
        </is>
      </c>
      <c r="D15" s="40" t="inlineStr">
        <is>
          <t>Unknown</t>
        </is>
      </c>
      <c r="E15" s="40" t="inlineStr">
        <is>
          <t>Unknown code does not reduce price</t>
        </is>
      </c>
      <c r="F15" s="40" t="inlineStr">
        <is>
          <t>Cart 30,000.</t>
        </is>
      </c>
      <c r="G15" s="40" t="inlineStr">
        <is>
          <t>Apply FAKE99.</t>
        </is>
      </c>
      <c r="H15" s="40" t="inlineStr">
        <is>
          <t>“code is not valid”; total still 30,000 + shipping.</t>
        </is>
      </c>
      <c r="I15" s="40" t="inlineStr"/>
      <c r="J15" s="40" t="inlineStr">
        <is>
          <t>High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  <row r="16" ht="48" customHeight="1">
      <c r="A16" s="39" t="n">
        <v>11</v>
      </c>
      <c r="B16" s="39" t="inlineStr">
        <is>
          <t>CART-011</t>
        </is>
      </c>
      <c r="C16" s="39" t="inlineStr">
        <is>
          <t>Discount</t>
        </is>
      </c>
      <c r="D16" s="39" t="inlineStr">
        <is>
          <t>Qty rule</t>
        </is>
      </c>
      <c r="E16" s="39" t="inlineStr">
        <is>
          <t>5 items get 10% off (TDD)</t>
        </is>
      </c>
      <c r="F16" s="39" t="inlineStr">
        <is>
          <t>USB-C-01 stock ≥5.</t>
        </is>
      </c>
      <c r="G16" s="39" t="inlineStr">
        <is>
          <t>Qty 5; no conflicting code that stacks twice.</t>
        </is>
      </c>
      <c r="H16" s="39" t="inlineStr">
        <is>
          <t>Item subtotal 5×15000×0.9 = 67,500.</t>
        </is>
      </c>
      <c r="I16" s="39" t="inlineStr"/>
      <c r="J16" s="39" t="inlineStr">
        <is>
          <t>High</t>
        </is>
      </c>
      <c r="K16" s="39" t="inlineStr">
        <is>
          <t>Not Executed</t>
        </is>
      </c>
      <c r="L16" s="39" t="inlineStr"/>
      <c r="M16" s="39" t="inlineStr"/>
      <c r="N16" s="39" t="inlineStr"/>
      <c r="O16" s="39" t="inlineStr">
        <is>
          <t>FR-DISC-04</t>
        </is>
      </c>
    </row>
    <row r="17" ht="48" customHeight="1">
      <c r="A17" s="40" t="n">
        <v>12</v>
      </c>
      <c r="B17" s="40" t="inlineStr">
        <is>
          <t>CART-012</t>
        </is>
      </c>
      <c r="C17" s="40" t="inlineStr">
        <is>
          <t>Discount</t>
        </is>
      </c>
      <c r="D17" s="40" t="inlineStr">
        <is>
          <t>Qty rule</t>
        </is>
      </c>
      <c r="E17" s="40" t="inlineStr">
        <is>
          <t>4 items get 0% off</t>
        </is>
      </c>
      <c r="F17" s="40" t="inlineStr">
        <is>
          <t>stock ≥4.</t>
        </is>
      </c>
      <c r="G17" s="40" t="inlineStr">
        <is>
          <t>Qty 4.</t>
        </is>
      </c>
      <c r="H17" s="40" t="inlineStr">
        <is>
          <t>Subtotal 60,000; no 10%.</t>
        </is>
      </c>
      <c r="I17" s="40" t="inlineStr"/>
      <c r="J17" s="40" t="inlineStr">
        <is>
          <t>High</t>
        </is>
      </c>
      <c r="K17" s="40" t="inlineStr">
        <is>
          <t>Not Executed</t>
        </is>
      </c>
      <c r="L17" s="40" t="inlineStr"/>
      <c r="M17" s="40" t="inlineStr"/>
      <c r="N17" s="40" t="inlineStr"/>
      <c r="O17" s="40" t="inlineStr"/>
    </row>
    <row r="18" ht="48" customHeight="1">
      <c r="A18" s="39" t="n">
        <v>13</v>
      </c>
      <c r="B18" s="39" t="inlineStr">
        <is>
          <t>CART-013</t>
        </is>
      </c>
      <c r="C18" s="39" t="inlineStr">
        <is>
          <t>Shipping</t>
        </is>
      </c>
      <c r="D18" s="39" t="inlineStr">
        <is>
          <t>Decision table</t>
        </is>
      </c>
      <c r="E18" s="39" t="inlineStr">
        <is>
          <t>Standard under 50k pays 2,000 shipping</t>
        </is>
      </c>
      <c r="F18" s="39" t="inlineStr">
        <is>
          <t>demo@ Standard; subtotal 30,000.</t>
        </is>
      </c>
      <c r="G18" s="39" t="inlineStr">
        <is>
          <t>Open checkout invoice.</t>
        </is>
      </c>
      <c r="H18" s="39" t="inlineStr">
        <is>
          <t>Shipping 2,000 RWF.</t>
        </is>
      </c>
      <c r="I18" s="39" t="inlineStr"/>
      <c r="J18" s="39" t="inlineStr">
        <is>
          <t>High</t>
        </is>
      </c>
      <c r="K18" s="39" t="inlineStr">
        <is>
          <t>Not Executed</t>
        </is>
      </c>
      <c r="L18" s="39" t="inlineStr"/>
      <c r="M18" s="39" t="inlineStr"/>
      <c r="N18" s="39" t="inlineStr"/>
      <c r="O18" s="39" t="inlineStr"/>
    </row>
    <row r="19" ht="48" customHeight="1">
      <c r="A19" s="40" t="n">
        <v>14</v>
      </c>
      <c r="B19" s="40" t="inlineStr">
        <is>
          <t>CART-014</t>
        </is>
      </c>
      <c r="C19" s="40" t="inlineStr">
        <is>
          <t>Shipping</t>
        </is>
      </c>
      <c r="D19" s="40" t="inlineStr">
        <is>
          <t>Decision table</t>
        </is>
      </c>
      <c r="E19" s="40" t="inlineStr">
        <is>
          <t>Gold under 50k ships free</t>
        </is>
      </c>
      <c r="F19" s="40" t="inlineStr">
        <is>
          <t>gold@cloudsphere.rw; subtotal 30,000.</t>
        </is>
      </c>
      <c r="G19" s="40" t="inlineStr">
        <is>
          <t>Open checkout invoice as Gold.</t>
        </is>
      </c>
      <c r="H19" s="40" t="inlineStr">
        <is>
          <t>Shipping 0 RWF.</t>
        </is>
      </c>
      <c r="I19" s="40" t="inlineStr"/>
      <c r="J19" s="40" t="inlineStr">
        <is>
          <t>High</t>
        </is>
      </c>
      <c r="K19" s="40" t="inlineStr">
        <is>
          <t>Not Executed</t>
        </is>
      </c>
      <c r="L19" s="40" t="inlineStr"/>
      <c r="M19" s="40" t="inlineStr"/>
      <c r="N19" s="40" t="inlineStr"/>
      <c r="O19" s="40" t="inlineStr">
        <is>
          <t>Appendix A row 3</t>
        </is>
      </c>
    </row>
  </sheetData>
  <autoFilter ref="A5:O19"/>
  <mergeCells count="2">
    <mergeCell ref="A3:O3"/>
    <mergeCell ref="A2:O2"/>
  </mergeCells>
  <dataValidations count="2">
    <dataValidation sqref="K6:K19" showDropDown="0" showInputMessage="0" showErrorMessage="0" allowBlank="0" type="list">
      <formula1>"Pass,Fail,Blocked,Not Executed"</formula1>
    </dataValidation>
    <dataValidation sqref="J6:J19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Cart &amp; Discount</oddHeader>
    <oddFooter>&amp;RCSS-UAT-2026-001  · 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2:O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2" ht="22" customHeight="1">
      <c r="A2" s="2" t="inlineStr">
        <is>
          <t>Checkout  /  Kwishyura</t>
        </is>
      </c>
    </row>
    <row r="3" ht="32" customHeight="1">
      <c r="A3" s="18" t="inlineStr">
        <is>
          <t>Place order (Airline Book-flight analogue), MoMo/Card, timeout-after-Paid, idempotency. Maps to UC-CS-07/08.</t>
        </is>
      </c>
    </row>
    <row r="4">
      <c r="A4" s="36" t="inlineStr">
        <is>
          <t>Total</t>
        </is>
      </c>
      <c r="B4" s="36">
        <f>COUNTA(B6:B19)</f>
        <v/>
      </c>
      <c r="C4" s="36" t="inlineStr">
        <is>
          <t>Pass</t>
        </is>
      </c>
      <c r="D4" s="36">
        <f>COUNTIF(K6:K19,"Pass")</f>
        <v/>
      </c>
      <c r="E4" s="36" t="inlineStr">
        <is>
          <t>Fail</t>
        </is>
      </c>
      <c r="F4" s="36">
        <f>COUNTIF(K6:K19,"Fail")</f>
        <v/>
      </c>
      <c r="G4" s="36" t="inlineStr">
        <is>
          <t>Blocked</t>
        </is>
      </c>
      <c r="H4" s="36">
        <f>COUNTIF(K6:K19,"Blocked")</f>
        <v/>
      </c>
      <c r="I4" s="36" t="inlineStr">
        <is>
          <t>Not Executed</t>
        </is>
      </c>
      <c r="J4" s="36">
        <f>COUNTIF(K6:K19,"Not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CO-001</t>
        </is>
      </c>
      <c r="C6" s="39" t="inlineStr">
        <is>
          <t>Checkout</t>
        </is>
      </c>
      <c r="D6" s="39" t="inlineStr">
        <is>
          <t>Gate</t>
        </is>
      </c>
      <c r="E6" s="39" t="inlineStr">
        <is>
          <t>Checkout requires login</t>
        </is>
      </c>
      <c r="F6" s="39" t="inlineStr">
        <is>
          <t>Guest cart non-empty.</t>
        </is>
      </c>
      <c r="G6" s="39" t="inlineStr">
        <is>
          <t>Click Checkout.</t>
        </is>
      </c>
      <c r="H6" s="39" t="inlineStr">
        <is>
          <t>Include::LOGIN; after success return to checkout.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CO-002</t>
        </is>
      </c>
      <c r="C7" s="40" t="inlineStr">
        <is>
          <t>Checkout</t>
        </is>
      </c>
      <c r="D7" s="40" t="inlineStr">
        <is>
          <t>Empty</t>
        </is>
      </c>
      <c r="E7" s="40" t="inlineStr">
        <is>
          <t>Empty cart cannot place order</t>
        </is>
      </c>
      <c r="F7" s="40" t="inlineStr">
        <is>
          <t>Logged in, empty cart.</t>
        </is>
      </c>
      <c r="G7" s="40" t="inlineStr">
        <is>
          <t>POST place order or click Pay.</t>
        </is>
      </c>
      <c r="H7" s="40" t="inlineStr">
        <is>
          <t>Rejected; no Order row.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CO-003</t>
        </is>
      </c>
      <c r="C8" s="39" t="inlineStr">
        <is>
          <t>Checkout</t>
        </is>
      </c>
      <c r="D8" s="39" t="inlineStr">
        <is>
          <t>Happy MoMo</t>
        </is>
      </c>
      <c r="E8" s="39" t="inlineStr">
        <is>
          <t>MoMo success → Paid + order number</t>
        </is>
      </c>
      <c r="F8" s="39" t="inlineStr">
        <is>
          <t>demo@ cart valid; adapter set to success.</t>
        </is>
      </c>
      <c r="G8" s="39" t="inlineStr">
        <is>
          <t>Checkout → MTN_MOMO → confirm.</t>
        </is>
      </c>
      <c r="H8" s="39" t="inlineStr">
        <is>
          <t>“transaction has been successful”; Order=Paid; notification requested; stock committed.</t>
        </is>
      </c>
      <c r="I8" s="39" t="inlineStr"/>
      <c r="J8" s="39" t="inlineStr">
        <is>
          <t>Critical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>
        <is>
          <t>UC-CS-07 main / Airline post-condition analogue</t>
        </is>
      </c>
    </row>
    <row r="9" ht="48" customHeight="1">
      <c r="A9" s="40" t="n">
        <v>4</v>
      </c>
      <c r="B9" s="40" t="inlineStr">
        <is>
          <t>CO-004</t>
        </is>
      </c>
      <c r="C9" s="40" t="inlineStr">
        <is>
          <t>Checkout</t>
        </is>
      </c>
      <c r="D9" s="40" t="inlineStr">
        <is>
          <t>Happy Card</t>
        </is>
      </c>
      <c r="E9" s="40" t="inlineStr">
        <is>
          <t>Card success → Paid</t>
        </is>
      </c>
      <c r="F9" s="40" t="inlineStr">
        <is>
          <t>Adapter success.</t>
        </is>
      </c>
      <c r="G9" s="40" t="inlineStr">
        <is>
          <t>Checkout → CARD → confirm.</t>
        </is>
      </c>
      <c r="H9" s="40" t="inlineStr">
        <is>
          <t>Paid; PAN not stored (inspect DB/payload).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CO-005</t>
        </is>
      </c>
      <c r="C10" s="39" t="inlineStr">
        <is>
          <t>Checkout</t>
        </is>
      </c>
      <c r="D10" s="39" t="inlineStr">
        <is>
          <t>Decline</t>
        </is>
      </c>
      <c r="E10" s="39" t="inlineStr">
        <is>
          <t>Declined payment — customer not charged</t>
        </is>
      </c>
      <c r="F10" s="39" t="inlineStr">
        <is>
          <t>Adapter decline.</t>
        </is>
      </c>
      <c r="G10" s="39" t="inlineStr">
        <is>
          <t>Confirm pay.</t>
        </is>
      </c>
      <c r="H10" s="39" t="inlineStr">
        <is>
          <t>Error displayed; no Paid order; cart reservation released or still Placed unpaid; money=0.</t>
        </is>
      </c>
      <c r="I10" s="39" t="inlineStr"/>
      <c r="J10" s="39" t="inlineStr">
        <is>
          <t>Critical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CO-006</t>
        </is>
      </c>
      <c r="C11" s="40" t="inlineStr">
        <is>
          <t>Checkout</t>
        </is>
      </c>
      <c r="D11" s="40" t="inlineStr">
        <is>
          <t>Cancel</t>
        </is>
      </c>
      <c r="E11" s="40" t="inlineStr">
        <is>
          <t>Customer cancels before pay</t>
        </is>
      </c>
      <c r="F11" s="40" t="inlineStr">
        <is>
          <t>On invoice step.</t>
        </is>
      </c>
      <c r="G11" s="40" t="inlineStr">
        <is>
          <t>Click Cancel and confirm “are you sure?”.</t>
        </is>
      </c>
      <c r="H11" s="40" t="inlineStr">
        <is>
          <t>Back to cart; no order; no charge.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CO-007</t>
        </is>
      </c>
      <c r="C12" s="39" t="inlineStr">
        <is>
          <t>Checkout</t>
        </is>
      </c>
      <c r="D12" s="39" t="inlineStr">
        <is>
          <t>Idempotency</t>
        </is>
      </c>
      <c r="E12" s="39" t="inlineStr">
        <is>
          <t>Double submit does not double charge</t>
        </is>
      </c>
      <c r="F12" s="39" t="inlineStr">
        <is>
          <t>Adapter success.</t>
        </is>
      </c>
      <c r="G12" s="39" t="inlineStr">
        <is>
          <t>Double-click Place order / replay Idempotency-Key.</t>
        </is>
      </c>
      <c r="H12" s="39" t="inlineStr">
        <is>
          <t>One Order, one charge.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CO-008</t>
        </is>
      </c>
      <c r="C13" s="40" t="inlineStr">
        <is>
          <t>Payment</t>
        </is>
      </c>
      <c r="D13" s="40" t="inlineStr">
        <is>
          <t>Timeout</t>
        </is>
      </c>
      <c r="E13" s="40" t="inlineStr">
        <is>
          <t>45s no callback → PaymentTimedOut not Paid</t>
        </is>
      </c>
      <c r="F13" s="40" t="inlineStr">
        <is>
          <t>Adapter timeout mode.</t>
        </is>
      </c>
      <c r="G13" s="40" t="inlineStr">
        <is>
          <t>Start MoMo pay; wait past 45s.</t>
        </is>
      </c>
      <c r="H13" s="40" t="inlineStr">
        <is>
          <t>State PaymentTimedOut; customer not charged; message to retry.</t>
        </is>
      </c>
      <c r="I13" s="40" t="inlineStr"/>
      <c r="J13" s="40" t="inlineStr">
        <is>
          <t>Critical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>
        <is>
          <t>FR-PAY-02</t>
        </is>
      </c>
    </row>
    <row r="14" ht="48" customHeight="1">
      <c r="A14" s="39" t="n">
        <v>9</v>
      </c>
      <c r="B14" s="39" t="inlineStr">
        <is>
          <t>CO-009</t>
        </is>
      </c>
      <c r="C14" s="39" t="inlineStr">
        <is>
          <t>Payment</t>
        </is>
      </c>
      <c r="D14" s="39" t="inlineStr">
        <is>
          <t>Timeout after Paid</t>
        </is>
      </c>
      <c r="E14" s="39" t="inlineStr">
        <is>
          <t>Late timeout after provisional Paid is corrected</t>
        </is>
      </c>
      <c r="F14" s="39" t="inlineStr">
        <is>
          <t>Adapter: success then timeout signal (Chapter 1 scenario).</t>
        </is>
      </c>
      <c r="G14" s="39" t="inlineStr">
        <is>
          <t>Complete pay; inject timeout/cancel from stub.</t>
        </is>
      </c>
      <c r="H14" s="39" t="inlineStr">
        <is>
          <t>Order leaves Paid → PaymentTimedOut; ops alert; stock/money consistent.</t>
        </is>
      </c>
      <c r="I14" s="39" t="inlineStr"/>
      <c r="J14" s="39" t="inlineStr">
        <is>
          <t>Critical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>
        <is>
          <t>FR-PAY-03 missed-requirement</t>
        </is>
      </c>
    </row>
    <row r="15" ht="48" customHeight="1">
      <c r="A15" s="40" t="n">
        <v>10</v>
      </c>
      <c r="B15" s="40" t="inlineStr">
        <is>
          <t>CO-010</t>
        </is>
      </c>
      <c r="C15" s="40" t="inlineStr">
        <is>
          <t>Payment</t>
        </is>
      </c>
      <c r="D15" s="40" t="inlineStr">
        <is>
          <t>Duplicate webhook</t>
        </is>
      </c>
      <c r="E15" s="40" t="inlineStr">
        <is>
          <t>Duplicate success callback is idempotent</t>
        </is>
      </c>
      <c r="F15" s="40" t="inlineStr">
        <is>
          <t>Already Paid.</t>
        </is>
      </c>
      <c r="G15" s="40" t="inlineStr">
        <is>
          <t>Replay gateway success webhook.</t>
        </is>
      </c>
      <c r="H15" s="40" t="inlineStr">
        <is>
          <t>Still one Paid order; no second capture.</t>
        </is>
      </c>
      <c r="I15" s="40" t="inlineStr"/>
      <c r="J15" s="40" t="inlineStr">
        <is>
          <t>High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  <row r="16" ht="48" customHeight="1">
      <c r="A16" s="39" t="n">
        <v>11</v>
      </c>
      <c r="B16" s="39" t="inlineStr">
        <is>
          <t>CO-011</t>
        </is>
      </c>
      <c r="C16" s="39" t="inlineStr">
        <is>
          <t>Checkout</t>
        </is>
      </c>
      <c r="D16" s="39" t="inlineStr">
        <is>
          <t>5 minute abandon</t>
        </is>
      </c>
      <c r="E16" s="39" t="inlineStr">
        <is>
          <t>Abandoned checkout cancels reservation</t>
        </is>
      </c>
      <c r="F16" s="39" t="inlineStr">
        <is>
          <t>On invoice, do not pay.</t>
        </is>
      </c>
      <c r="G16" s="39" t="inlineStr">
        <is>
          <t>Wait 5+ minutes (or trigger job).</t>
        </is>
      </c>
      <c r="H16" s="39" t="inlineStr">
        <is>
          <t>Reservation cancelled; stock available again.</t>
        </is>
      </c>
      <c r="I16" s="39" t="inlineStr"/>
      <c r="J16" s="39" t="inlineStr">
        <is>
          <t>Medium</t>
        </is>
      </c>
      <c r="K16" s="39" t="inlineStr">
        <is>
          <t>Not Executed</t>
        </is>
      </c>
      <c r="L16" s="39" t="inlineStr"/>
      <c r="M16" s="39" t="inlineStr"/>
      <c r="N16" s="39" t="inlineStr"/>
      <c r="O16" s="39" t="inlineStr"/>
    </row>
    <row r="17" ht="48" customHeight="1">
      <c r="A17" s="40" t="n">
        <v>12</v>
      </c>
      <c r="B17" s="40" t="inlineStr">
        <is>
          <t>CO-012</t>
        </is>
      </c>
      <c r="C17" s="40" t="inlineStr">
        <is>
          <t>Checkout</t>
        </is>
      </c>
      <c r="D17" s="40" t="inlineStr">
        <is>
          <t>OOS race</t>
        </is>
      </c>
      <c r="E17" s="40" t="inlineStr">
        <is>
          <t>Item goes OOS between cart and pay</t>
        </is>
      </c>
      <c r="F17" s="40" t="inlineStr">
        <is>
          <t>stockQty=1; two sessions.</t>
        </is>
      </c>
      <c r="G17" s="40" t="inlineStr">
        <is>
          <t>Both attempt checkout.</t>
        </is>
      </c>
      <c r="H17" s="40" t="inlineStr">
        <is>
          <t>Only one Paid; other sees stock error; no oversell.</t>
        </is>
      </c>
      <c r="I17" s="40" t="inlineStr"/>
      <c r="J17" s="40" t="inlineStr">
        <is>
          <t>High</t>
        </is>
      </c>
      <c r="K17" s="40" t="inlineStr">
        <is>
          <t>Not Executed</t>
        </is>
      </c>
      <c r="L17" s="40" t="inlineStr"/>
      <c r="M17" s="40" t="inlineStr"/>
      <c r="N17" s="40" t="inlineStr"/>
      <c r="O17" s="40" t="inlineStr"/>
    </row>
    <row r="18" ht="48" customHeight="1">
      <c r="A18" s="39" t="n">
        <v>13</v>
      </c>
      <c r="B18" s="39" t="inlineStr">
        <is>
          <t>CO-013</t>
        </is>
      </c>
      <c r="C18" s="39" t="inlineStr">
        <is>
          <t>Checkout</t>
        </is>
      </c>
      <c r="D18" s="39" t="inlineStr">
        <is>
          <t>Invoice</t>
        </is>
      </c>
      <c r="E18" s="39" t="inlineStr">
        <is>
          <t>Invoice shows subtotal, discount, shipping, total</t>
        </is>
      </c>
      <c r="F18" s="39" t="inlineStr">
        <is>
          <t>Cart with SAVE2026 and shipping rule.</t>
        </is>
      </c>
      <c r="G18" s="39" t="inlineStr">
        <is>
          <t>Reach step 5.</t>
        </is>
      </c>
      <c r="H18" s="39" t="inlineStr">
        <is>
          <t>Four figures visible in RWF; match FR-CART-04.</t>
        </is>
      </c>
      <c r="I18" s="39" t="inlineStr"/>
      <c r="J18" s="39" t="inlineStr">
        <is>
          <t>High</t>
        </is>
      </c>
      <c r="K18" s="39" t="inlineStr">
        <is>
          <t>Not Executed</t>
        </is>
      </c>
      <c r="L18" s="39" t="inlineStr"/>
      <c r="M18" s="39" t="inlineStr"/>
      <c r="N18" s="39" t="inlineStr"/>
      <c r="O18" s="39" t="inlineStr"/>
    </row>
    <row r="19" ht="48" customHeight="1">
      <c r="A19" s="40" t="n">
        <v>14</v>
      </c>
      <c r="B19" s="40" t="inlineStr">
        <is>
          <t>CO-014</t>
        </is>
      </c>
      <c r="C19" s="40" t="inlineStr">
        <is>
          <t>Checkout</t>
        </is>
      </c>
      <c r="D19" s="40" t="inlineStr">
        <is>
          <t>Change method</t>
        </is>
      </c>
      <c r="E19" s="40" t="inlineStr">
        <is>
          <t>Switch MoMo to Card before confirm</t>
        </is>
      </c>
      <c r="F19" s="40" t="inlineStr">
        <is>
          <t>On payment step.</t>
        </is>
      </c>
      <c r="G19" s="40" t="inlineStr">
        <is>
          <t>Change method; confirm Card success.</t>
        </is>
      </c>
      <c r="H19" s="40" t="inlineStr">
        <is>
          <t>Paid via CARD; no MoMo charge.</t>
        </is>
      </c>
      <c r="I19" s="40" t="inlineStr"/>
      <c r="J19" s="40" t="inlineStr">
        <is>
          <t>Medium</t>
        </is>
      </c>
      <c r="K19" s="40" t="inlineStr">
        <is>
          <t>Not Executed</t>
        </is>
      </c>
      <c r="L19" s="40" t="inlineStr"/>
      <c r="M19" s="40" t="inlineStr"/>
      <c r="N19" s="40" t="inlineStr"/>
      <c r="O19" s="40" t="inlineStr"/>
    </row>
  </sheetData>
  <autoFilter ref="A5:O19"/>
  <mergeCells count="2">
    <mergeCell ref="A3:O3"/>
    <mergeCell ref="A2:O2"/>
  </mergeCells>
  <dataValidations count="2">
    <dataValidation sqref="K6:K19" showDropDown="0" showInputMessage="0" showErrorMessage="0" allowBlank="0" type="list">
      <formula1>"Pass,Fail,Blocked,Not Executed"</formula1>
    </dataValidation>
    <dataValidation sqref="J6:J19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Checkout</oddHeader>
    <oddFooter>&amp;RCSS-UAT-2026-001  · 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2:O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2" ht="22" customHeight="1">
      <c r="A2" s="2" t="inlineStr">
        <is>
          <t>Wishlist &amp; Orders  /  Ibyifuzo n'ibitumwa</t>
        </is>
      </c>
    </row>
    <row r="3" ht="32" customHeight="1">
      <c r="A3" s="18" t="inlineStr">
        <is>
          <t>REQ-WL-01..06 including persistence, IDOR, legal and illegal order transitions. Maps to UC-CS-09/10/12.</t>
        </is>
      </c>
    </row>
    <row r="4">
      <c r="A4" s="36" t="inlineStr">
        <is>
          <t>Total</t>
        </is>
      </c>
      <c r="B4" s="36">
        <f>COUNTA(B6:B19)</f>
        <v/>
      </c>
      <c r="C4" s="36" t="inlineStr">
        <is>
          <t>Pass</t>
        </is>
      </c>
      <c r="D4" s="36">
        <f>COUNTIF(K6:K19,"Pass")</f>
        <v/>
      </c>
      <c r="E4" s="36" t="inlineStr">
        <is>
          <t>Fail</t>
        </is>
      </c>
      <c r="F4" s="36">
        <f>COUNTIF(K6:K19,"Fail")</f>
        <v/>
      </c>
      <c r="G4" s="36" t="inlineStr">
        <is>
          <t>Blocked</t>
        </is>
      </c>
      <c r="H4" s="36">
        <f>COUNTIF(K6:K19,"Blocked")</f>
        <v/>
      </c>
      <c r="I4" s="36" t="inlineStr">
        <is>
          <t>Not Executed</t>
        </is>
      </c>
      <c r="J4" s="36">
        <f>COUNTIF(K6:K19,"Not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WO-001</t>
        </is>
      </c>
      <c r="C6" s="39" t="inlineStr">
        <is>
          <t>Wishlist</t>
        </is>
      </c>
      <c r="D6" s="39" t="inlineStr">
        <is>
          <t>Add</t>
        </is>
      </c>
      <c r="E6" s="39" t="inlineStr">
        <is>
          <t>Add in-stock item (REQ-WL-01)</t>
        </is>
      </c>
      <c r="F6" s="39" t="inlineStr">
        <is>
          <t>Logged in demo@; USB-C-01 in stock.</t>
        </is>
      </c>
      <c r="G6" s="39" t="inlineStr">
        <is>
          <t>Click Save to wishlist.</t>
        </is>
      </c>
      <c r="H6" s="39" t="inlineStr">
        <is>
          <t>Item on wishlist page.</t>
        </is>
      </c>
      <c r="I6" s="39" t="inlineStr"/>
      <c r="J6" s="39" t="inlineStr">
        <is>
          <t>High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WO-002</t>
        </is>
      </c>
      <c r="C7" s="40" t="inlineStr">
        <is>
          <t>Wishlist</t>
        </is>
      </c>
      <c r="D7" s="40" t="inlineStr">
        <is>
          <t>OOS</t>
        </is>
      </c>
      <c r="E7" s="40" t="inlineStr">
        <is>
          <t>Cannot add out-of-stock (REQ-WL-02)</t>
        </is>
      </c>
      <c r="F7" s="40" t="inlineStr">
        <is>
          <t>OOS-01.</t>
        </is>
      </c>
      <c r="G7" s="40" t="inlineStr">
        <is>
          <t>Save to wishlist.</t>
        </is>
      </c>
      <c r="H7" s="40" t="inlineStr">
        <is>
          <t>Rejected with message.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WO-003</t>
        </is>
      </c>
      <c r="C8" s="39" t="inlineStr">
        <is>
          <t>Wishlist</t>
        </is>
      </c>
      <c r="D8" s="39" t="inlineStr">
        <is>
          <t>Auth</t>
        </is>
      </c>
      <c r="E8" s="39" t="inlineStr">
        <is>
          <t>Guest wishlist redirects to login (REQ-WL-03)</t>
        </is>
      </c>
      <c r="F8" s="39" t="inlineStr">
        <is>
          <t>Logged out.</t>
        </is>
      </c>
      <c r="G8" s="39" t="inlineStr">
        <is>
          <t>Open /wishlist.</t>
        </is>
      </c>
      <c r="H8" s="39" t="inlineStr">
        <is>
          <t>Redirect login; after login return to wishlist.</t>
        </is>
      </c>
      <c r="I8" s="39" t="inlineStr"/>
      <c r="J8" s="39" t="inlineStr">
        <is>
          <t>High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WO-004</t>
        </is>
      </c>
      <c r="C9" s="40" t="inlineStr">
        <is>
          <t>Wishlist</t>
        </is>
      </c>
      <c r="D9" s="40" t="inlineStr">
        <is>
          <t>Icon</t>
        </is>
      </c>
      <c r="E9" s="40" t="inlineStr">
        <is>
          <t>Icon updates without full refresh (REQ-WL-04)</t>
        </is>
      </c>
      <c r="F9" s="40" t="inlineStr">
        <is>
          <t>Logged in on product page.</t>
        </is>
      </c>
      <c r="G9" s="40" t="inlineStr">
        <is>
          <t>Add to wishlist; watch icon.</t>
        </is>
      </c>
      <c r="H9" s="40" t="inlineStr">
        <is>
          <t>Icon/count updates immediately (DEF-118 class).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WO-005</t>
        </is>
      </c>
      <c r="C10" s="39" t="inlineStr">
        <is>
          <t>Wishlist</t>
        </is>
      </c>
      <c r="D10" s="39" t="inlineStr">
        <is>
          <t>Cart</t>
        </is>
      </c>
      <c r="E10" s="39" t="inlineStr">
        <is>
          <t>Move wishlist item to cart (REQ-WL-05)</t>
        </is>
      </c>
      <c r="F10" s="39" t="inlineStr">
        <is>
          <t>Item on wishlist.</t>
        </is>
      </c>
      <c r="G10" s="39" t="inlineStr">
        <is>
          <t>Move to cart.</t>
        </is>
      </c>
      <c r="H10" s="39" t="inlineStr">
        <is>
          <t>Cart has the SKU; wishlist still has it unless confirmed remove.</t>
        </is>
      </c>
      <c r="I10" s="39" t="inlineStr"/>
      <c r="J10" s="39" t="inlineStr">
        <is>
          <t>Medium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WO-006</t>
        </is>
      </c>
      <c r="C11" s="40" t="inlineStr">
        <is>
          <t>Wishlist</t>
        </is>
      </c>
      <c r="D11" s="40" t="inlineStr">
        <is>
          <t>Persist</t>
        </is>
      </c>
      <c r="E11" s="40" t="inlineStr">
        <is>
          <t>Wishlist persists across sessions (REQ-WL-06)</t>
        </is>
      </c>
      <c r="F11" s="40" t="inlineStr">
        <is>
          <t>Item saved.</t>
        </is>
      </c>
      <c r="G11" s="40" t="inlineStr">
        <is>
          <t>Logout, login, open wishlist.</t>
        </is>
      </c>
      <c r="H11" s="40" t="inlineStr">
        <is>
          <t>Item still present. This case MUST exist on the RTM.</t>
        </is>
      </c>
      <c r="I11" s="40" t="inlineStr"/>
      <c r="J11" s="40" t="inlineStr">
        <is>
          <t>Critical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>
        <is>
          <t>Lecture REQ-WL-06 untested trap</t>
        </is>
      </c>
    </row>
    <row r="12" ht="48" customHeight="1">
      <c r="A12" s="39" t="n">
        <v>7</v>
      </c>
      <c r="B12" s="39" t="inlineStr">
        <is>
          <t>WO-007</t>
        </is>
      </c>
      <c r="C12" s="39" t="inlineStr">
        <is>
          <t>Wishlist</t>
        </is>
      </c>
      <c r="D12" s="39" t="inlineStr">
        <is>
          <t>Unpublished</t>
        </is>
      </c>
      <c r="E12" s="39" t="inlineStr">
        <is>
          <t>Unpublished product cannot stay actionable</t>
        </is>
      </c>
      <c r="F12" s="39" t="inlineStr">
        <is>
          <t>Admin unpublishes a wishlisted SKU.</t>
        </is>
      </c>
      <c r="G12" s="39" t="inlineStr">
        <is>
          <t>Open wishlist.</t>
        </is>
      </c>
      <c r="H12" s="39" t="inlineStr">
        <is>
          <t>Item marked unavailable; move-to-cart disabled.</t>
        </is>
      </c>
      <c r="I12" s="39" t="inlineStr"/>
      <c r="J12" s="39" t="inlineStr">
        <is>
          <t>Medium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WO-008</t>
        </is>
      </c>
      <c r="C13" s="40" t="inlineStr">
        <is>
          <t>Orders</t>
        </is>
      </c>
      <c r="D13" s="40" t="inlineStr">
        <is>
          <t>Track</t>
        </is>
      </c>
      <c r="E13" s="40" t="inlineStr">
        <is>
          <t>Customer sees own Paid order</t>
        </is>
      </c>
      <c r="F13" s="40" t="inlineStr">
        <is>
          <t>CO-003 succeeded.</t>
        </is>
      </c>
      <c r="G13" s="40" t="inlineStr">
        <is>
          <t>Open My orders.</t>
        </is>
      </c>
      <c r="H13" s="40" t="inlineStr">
        <is>
          <t>Order number, Paid, lines visible.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WO-009</t>
        </is>
      </c>
      <c r="C14" s="39" t="inlineStr">
        <is>
          <t>Orders</t>
        </is>
      </c>
      <c r="D14" s="39" t="inlineStr">
        <is>
          <t>IDOR</t>
        </is>
      </c>
      <c r="E14" s="39" t="inlineStr">
        <is>
          <t>Customer A cannot read Customer B order</t>
        </is>
      </c>
      <c r="F14" s="39" t="inlineStr">
        <is>
          <t>Two customers with orders.</t>
        </is>
      </c>
      <c r="G14" s="39" t="inlineStr">
        <is>
          <t>As A, GET /api/orders/{B.id} and open B’s URL.</t>
        </is>
      </c>
      <c r="H14" s="39" t="inlineStr">
        <is>
          <t>404 (not 403 with body leak).</t>
        </is>
      </c>
      <c r="I14" s="39" t="inlineStr"/>
      <c r="J14" s="39" t="inlineStr">
        <is>
          <t>Critical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>
        <is>
          <t>SEC-02</t>
        </is>
      </c>
    </row>
    <row r="15" ht="48" customHeight="1">
      <c r="A15" s="40" t="n">
        <v>10</v>
      </c>
      <c r="B15" s="40" t="inlineStr">
        <is>
          <t>WO-010</t>
        </is>
      </c>
      <c r="C15" s="40" t="inlineStr">
        <is>
          <t>Orders</t>
        </is>
      </c>
      <c r="D15" s="40" t="inlineStr">
        <is>
          <t>State</t>
        </is>
      </c>
      <c r="E15" s="40" t="inlineStr">
        <is>
          <t>Legal path Placed→Paid→Shipped→Delivered</t>
        </is>
      </c>
      <c r="F15" s="40" t="inlineStr">
        <is>
          <t>Admin user.</t>
        </is>
      </c>
      <c r="G15" s="40" t="inlineStr">
        <is>
          <t>Fulfill a Paid order to Delivered.</t>
        </is>
      </c>
      <c r="H15" s="40" t="inlineStr">
        <is>
          <t>Each transition succeeds; notifications requested.</t>
        </is>
      </c>
      <c r="I15" s="40" t="inlineStr"/>
      <c r="J15" s="40" t="inlineStr">
        <is>
          <t>High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  <row r="16" ht="48" customHeight="1">
      <c r="A16" s="39" t="n">
        <v>11</v>
      </c>
      <c r="B16" s="39" t="inlineStr">
        <is>
          <t>WO-011</t>
        </is>
      </c>
      <c r="C16" s="39" t="inlineStr">
        <is>
          <t>Orders</t>
        </is>
      </c>
      <c r="D16" s="39" t="inlineStr">
        <is>
          <t>Illegal</t>
        </is>
      </c>
      <c r="E16" s="39" t="inlineStr">
        <is>
          <t>Reject Delivered → Placed</t>
        </is>
      </c>
      <c r="F16" s="39" t="inlineStr">
        <is>
          <t>Delivered order.</t>
        </is>
      </c>
      <c r="G16" s="39" t="inlineStr">
        <is>
          <t>PATCH state=Placed.</t>
        </is>
      </c>
      <c r="H16" s="39" t="inlineStr">
        <is>
          <t>HTTP 409; state unchanged.</t>
        </is>
      </c>
      <c r="I16" s="39" t="inlineStr"/>
      <c r="J16" s="39" t="inlineStr">
        <is>
          <t>High</t>
        </is>
      </c>
      <c r="K16" s="39" t="inlineStr">
        <is>
          <t>Not Executed</t>
        </is>
      </c>
      <c r="L16" s="39" t="inlineStr"/>
      <c r="M16" s="39" t="inlineStr"/>
      <c r="N16" s="39" t="inlineStr"/>
      <c r="O16" s="39" t="inlineStr">
        <is>
          <t>Exercise 33 analogue</t>
        </is>
      </c>
    </row>
    <row r="17" ht="48" customHeight="1">
      <c r="A17" s="40" t="n">
        <v>12</v>
      </c>
      <c r="B17" s="40" t="inlineStr">
        <is>
          <t>WO-012</t>
        </is>
      </c>
      <c r="C17" s="40" t="inlineStr">
        <is>
          <t>Orders</t>
        </is>
      </c>
      <c r="D17" s="40" t="inlineStr">
        <is>
          <t>Illegal</t>
        </is>
      </c>
      <c r="E17" s="40" t="inlineStr">
        <is>
          <t>Reject Paid → Placed</t>
        </is>
      </c>
      <c r="F17" s="40" t="inlineStr">
        <is>
          <t>Paid order.</t>
        </is>
      </c>
      <c r="G17" s="40" t="inlineStr">
        <is>
          <t>PATCH state=Placed.</t>
        </is>
      </c>
      <c r="H17" s="40" t="inlineStr">
        <is>
          <t>409; no payment reversal in this version.</t>
        </is>
      </c>
      <c r="I17" s="40" t="inlineStr"/>
      <c r="J17" s="40" t="inlineStr">
        <is>
          <t>High</t>
        </is>
      </c>
      <c r="K17" s="40" t="inlineStr">
        <is>
          <t>Not Executed</t>
        </is>
      </c>
      <c r="L17" s="40" t="inlineStr"/>
      <c r="M17" s="40" t="inlineStr"/>
      <c r="N17" s="40" t="inlineStr"/>
      <c r="O17" s="40" t="inlineStr"/>
    </row>
    <row r="18" ht="48" customHeight="1">
      <c r="A18" s="39" t="n">
        <v>13</v>
      </c>
      <c r="B18" s="39" t="inlineStr">
        <is>
          <t>WO-013</t>
        </is>
      </c>
      <c r="C18" s="39" t="inlineStr">
        <is>
          <t>Orders</t>
        </is>
      </c>
      <c r="D18" s="39" t="inlineStr">
        <is>
          <t>Illegal</t>
        </is>
      </c>
      <c r="E18" s="39" t="inlineStr">
        <is>
          <t>Reject ship of unpaid Placed order</t>
        </is>
      </c>
      <c r="F18" s="39" t="inlineStr">
        <is>
          <t>Placed unpaid.</t>
        </is>
      </c>
      <c r="G18" s="39" t="inlineStr">
        <is>
          <t>Admin Mark shipped.</t>
        </is>
      </c>
      <c r="H18" s="39" t="inlineStr">
        <is>
          <t>Rejected; stays Placed.</t>
        </is>
      </c>
      <c r="I18" s="39" t="inlineStr"/>
      <c r="J18" s="39" t="inlineStr">
        <is>
          <t>High</t>
        </is>
      </c>
      <c r="K18" s="39" t="inlineStr">
        <is>
          <t>Not Executed</t>
        </is>
      </c>
      <c r="L18" s="39" t="inlineStr"/>
      <c r="M18" s="39" t="inlineStr"/>
      <c r="N18" s="39" t="inlineStr"/>
      <c r="O18" s="39" t="inlineStr"/>
    </row>
    <row r="19" ht="48" customHeight="1">
      <c r="A19" s="40" t="n">
        <v>14</v>
      </c>
      <c r="B19" s="40" t="inlineStr">
        <is>
          <t>WO-014</t>
        </is>
      </c>
      <c r="C19" s="40" t="inlineStr">
        <is>
          <t>Orders</t>
        </is>
      </c>
      <c r="D19" s="40" t="inlineStr">
        <is>
          <t>Unknown</t>
        </is>
      </c>
      <c r="E19" s="40" t="inlineStr">
        <is>
          <t>Unknown order id is 404</t>
        </is>
      </c>
      <c r="F19" s="40" t="inlineStr">
        <is>
          <t>Logged in.</t>
        </is>
      </c>
      <c r="G19" s="40" t="inlineStr">
        <is>
          <t>Open /orders/no-such-id.</t>
        </is>
      </c>
      <c r="H19" s="40" t="inlineStr">
        <is>
          <t>404.</t>
        </is>
      </c>
      <c r="I19" s="40" t="inlineStr"/>
      <c r="J19" s="40" t="inlineStr">
        <is>
          <t>Medium</t>
        </is>
      </c>
      <c r="K19" s="40" t="inlineStr">
        <is>
          <t>Not Executed</t>
        </is>
      </c>
      <c r="L19" s="40" t="inlineStr"/>
      <c r="M19" s="40" t="inlineStr"/>
      <c r="N19" s="40" t="inlineStr"/>
      <c r="O19" s="40" t="inlineStr"/>
    </row>
  </sheetData>
  <autoFilter ref="A5:O19"/>
  <mergeCells count="2">
    <mergeCell ref="A3:O3"/>
    <mergeCell ref="A2:O2"/>
  </mergeCells>
  <dataValidations count="2">
    <dataValidation sqref="K6:K19" showDropDown="0" showInputMessage="0" showErrorMessage="0" allowBlank="0" type="list">
      <formula1>"Pass,Fail,Blocked,Not Executed"</formula1>
    </dataValidation>
    <dataValidation sqref="J6:J19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Wishlist &amp; Orders</oddHeader>
    <oddFooter>&amp;RCSS-UAT-2026-001  · 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2:O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2" ht="22" customHeight="1">
      <c r="A2" s="2" t="inlineStr">
        <is>
          <t>Admin  /  Ubuyobozi</t>
        </is>
      </c>
    </row>
    <row r="3" ht="32" customHeight="1">
      <c r="A3" s="18" t="inlineStr">
        <is>
          <t>Authorisation, publish/unpublish, stock, ship/deliver, quick-start validation task (LO4).</t>
        </is>
      </c>
    </row>
    <row r="4">
      <c r="A4" s="36" t="inlineStr">
        <is>
          <t>Total</t>
        </is>
      </c>
      <c r="B4" s="36">
        <f>COUNTA(B6:B13)</f>
        <v/>
      </c>
      <c r="C4" s="36" t="inlineStr">
        <is>
          <t>Pass</t>
        </is>
      </c>
      <c r="D4" s="36">
        <f>COUNTIF(K6:K13,"Pass")</f>
        <v/>
      </c>
      <c r="E4" s="36" t="inlineStr">
        <is>
          <t>Fail</t>
        </is>
      </c>
      <c r="F4" s="36">
        <f>COUNTIF(K6:K13,"Fail")</f>
        <v/>
      </c>
      <c r="G4" s="36" t="inlineStr">
        <is>
          <t>Blocked</t>
        </is>
      </c>
      <c r="H4" s="36">
        <f>COUNTIF(K6:K13,"Blocked")</f>
        <v/>
      </c>
      <c r="I4" s="36" t="inlineStr">
        <is>
          <t>Not Executed</t>
        </is>
      </c>
      <c r="J4" s="36">
        <f>COUNTIF(K6:K13,"Not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AD-001</t>
        </is>
      </c>
      <c r="C6" s="39" t="inlineStr">
        <is>
          <t>Admin</t>
        </is>
      </c>
      <c r="D6" s="39" t="inlineStr">
        <is>
          <t>Authz</t>
        </is>
      </c>
      <c r="E6" s="39" t="inlineStr">
        <is>
          <t>Non-admin cannot open admin console</t>
        </is>
      </c>
      <c r="F6" s="39" t="inlineStr">
        <is>
          <t>demo@ customer.</t>
        </is>
      </c>
      <c r="G6" s="39" t="inlineStr">
        <is>
          <t>GET /admin and POST /api/admin/products.</t>
        </is>
      </c>
      <c r="H6" s="39" t="inlineStr">
        <is>
          <t>403 / redirect; no product created.</t>
        </is>
      </c>
      <c r="I6" s="39" t="inlineStr"/>
      <c r="J6" s="39" t="inlineStr">
        <is>
          <t>Critical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/>
    </row>
    <row r="7" ht="48" customHeight="1">
      <c r="A7" s="40" t="n">
        <v>2</v>
      </c>
      <c r="B7" s="40" t="inlineStr">
        <is>
          <t>AD-002</t>
        </is>
      </c>
      <c r="C7" s="40" t="inlineStr">
        <is>
          <t>Admin</t>
        </is>
      </c>
      <c r="D7" s="40" t="inlineStr">
        <is>
          <t>Publish</t>
        </is>
      </c>
      <c r="E7" s="40" t="inlineStr">
        <is>
          <t>Admin publishes unique SKU</t>
        </is>
      </c>
      <c r="F7" s="40" t="inlineStr">
        <is>
          <t>ops@cloudsphere.rw.</t>
        </is>
      </c>
      <c r="G7" s="40" t="inlineStr">
        <is>
          <t>Create SKU CAP-01 published price 8,000 stock 5.</t>
        </is>
      </c>
      <c r="H7" s="40" t="inlineStr">
        <is>
          <t>Appears on storefront within 5 s.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AD-003</t>
        </is>
      </c>
      <c r="C8" s="39" t="inlineStr">
        <is>
          <t>Admin</t>
        </is>
      </c>
      <c r="D8" s="39" t="inlineStr">
        <is>
          <t>Duplicate</t>
        </is>
      </c>
      <c r="E8" s="39" t="inlineStr">
        <is>
          <t>Duplicate SKU rejected</t>
        </is>
      </c>
      <c r="F8" s="39" t="inlineStr">
        <is>
          <t>USB-C-01 exists.</t>
        </is>
      </c>
      <c r="G8" s="39" t="inlineStr">
        <is>
          <t>Create another USB-C-01.</t>
        </is>
      </c>
      <c r="H8" s="39" t="inlineStr">
        <is>
          <t>Validation error; original unchanged.</t>
        </is>
      </c>
      <c r="I8" s="39" t="inlineStr"/>
      <c r="J8" s="39" t="inlineStr">
        <is>
          <t>High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AD-004</t>
        </is>
      </c>
      <c r="C9" s="40" t="inlineStr">
        <is>
          <t>Admin</t>
        </is>
      </c>
      <c r="D9" s="40" t="inlineStr">
        <is>
          <t>Stock</t>
        </is>
      </c>
      <c r="E9" s="40" t="inlineStr">
        <is>
          <t>Negative stock rejected</t>
        </is>
      </c>
      <c r="F9" s="40" t="inlineStr">
        <is>
          <t>Admin on USB-C-01.</t>
        </is>
      </c>
      <c r="G9" s="40" t="inlineStr">
        <is>
          <t>Set stockQty=-1.</t>
        </is>
      </c>
      <c r="H9" s="40" t="inlineStr">
        <is>
          <t>Rejected.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/>
    </row>
    <row r="10" ht="48" customHeight="1">
      <c r="A10" s="39" t="n">
        <v>5</v>
      </c>
      <c r="B10" s="39" t="inlineStr">
        <is>
          <t>AD-005</t>
        </is>
      </c>
      <c r="C10" s="39" t="inlineStr">
        <is>
          <t>Admin</t>
        </is>
      </c>
      <c r="D10" s="39" t="inlineStr">
        <is>
          <t>Unpublish</t>
        </is>
      </c>
      <c r="E10" s="39" t="inlineStr">
        <is>
          <t>Unpublish hides from search</t>
        </is>
      </c>
      <c r="F10" s="39" t="inlineStr">
        <is>
          <t>CAP-01 published.</t>
        </is>
      </c>
      <c r="G10" s="39" t="inlineStr">
        <is>
          <t>Unpublish.</t>
        </is>
      </c>
      <c r="H10" s="39" t="inlineStr">
        <is>
          <t>Guest search 404/hidden (CAT-005 behaviour).</t>
        </is>
      </c>
      <c r="I10" s="39" t="inlineStr"/>
      <c r="J10" s="39" t="inlineStr">
        <is>
          <t>High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AD-006</t>
        </is>
      </c>
      <c r="C11" s="40" t="inlineStr">
        <is>
          <t>Admin</t>
        </is>
      </c>
      <c r="D11" s="40" t="inlineStr">
        <is>
          <t>Ship</t>
        </is>
      </c>
      <c r="E11" s="40" t="inlineStr">
        <is>
          <t>Mark Paid order shipped with tracking</t>
        </is>
      </c>
      <c r="F11" s="40" t="inlineStr">
        <is>
          <t>A Paid order.</t>
        </is>
      </c>
      <c r="G11" s="40" t="inlineStr">
        <is>
          <t>Enter tracking; Mark shipped.</t>
        </is>
      </c>
      <c r="H11" s="40" t="inlineStr">
        <is>
          <t>State=Shipped; customer notified.</t>
        </is>
      </c>
      <c r="I11" s="40" t="inlineStr"/>
      <c r="J11" s="40" t="inlineStr">
        <is>
          <t>High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/>
    </row>
    <row r="12" ht="48" customHeight="1">
      <c r="A12" s="39" t="n">
        <v>7</v>
      </c>
      <c r="B12" s="39" t="inlineStr">
        <is>
          <t>AD-007</t>
        </is>
      </c>
      <c r="C12" s="39" t="inlineStr">
        <is>
          <t>Admin</t>
        </is>
      </c>
      <c r="D12" s="39" t="inlineStr">
        <is>
          <t>Deliver</t>
        </is>
      </c>
      <c r="E12" s="39" t="inlineStr">
        <is>
          <t>Mark Shipped order delivered</t>
        </is>
      </c>
      <c r="F12" s="39" t="inlineStr">
        <is>
          <t>Shipped order.</t>
        </is>
      </c>
      <c r="G12" s="39" t="inlineStr">
        <is>
          <t>Mark delivered.</t>
        </is>
      </c>
      <c r="H12" s="39" t="inlineStr">
        <is>
          <t>State=Delivered.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AD-008</t>
        </is>
      </c>
      <c r="C13" s="40" t="inlineStr">
        <is>
          <t>Admin</t>
        </is>
      </c>
      <c r="D13" s="40" t="inlineStr">
        <is>
          <t>Quick-start</t>
        </is>
      </c>
      <c r="E13" s="40" t="inlineStr">
        <is>
          <t>Ops user completes publish+ship using only quick-start</t>
        </is>
      </c>
      <c r="F13" s="40" t="inlineStr">
        <is>
          <t>UAT Protocol O4 participant is not the feature’s developer.</t>
        </is>
      </c>
      <c r="G13" s="40" t="inlineStr">
        <is>
          <t>Hand only the quick-start guide; time the task.</t>
        </is>
      </c>
      <c r="H13" s="40" t="inlineStr">
        <is>
          <t>Task success without developer help; time recorded on Protocol sheet.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>
        <is>
          <t>LO4 UAT objective — validation not verification</t>
        </is>
      </c>
    </row>
  </sheetData>
  <autoFilter ref="A5:O13"/>
  <mergeCells count="2">
    <mergeCell ref="A3:O3"/>
    <mergeCell ref="A2:O2"/>
  </mergeCells>
  <dataValidations count="2">
    <dataValidation sqref="K6:K13" showDropDown="0" showInputMessage="0" showErrorMessage="0" allowBlank="0" type="list">
      <formula1>"Pass,Fail,Blocked,Not Executed"</formula1>
    </dataValidation>
    <dataValidation sqref="J6:J13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Admin</oddHeader>
    <oddFooter>&amp;RCSS-UAT-2026-001  · 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2:O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32" customWidth="1" min="5" max="5"/>
    <col width="28" customWidth="1" min="6" max="6"/>
    <col width="40" customWidth="1" min="7" max="7"/>
    <col width="40" customWidth="1" min="8" max="8"/>
    <col width="2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8" customWidth="1" min="15" max="15"/>
  </cols>
  <sheetData>
    <row r="2" ht="22" customHeight="1">
      <c r="A2" s="2" t="inlineStr">
        <is>
          <t>Non-functional  /  Imikorere n'umutekano</t>
        </is>
      </c>
    </row>
    <row r="3" ht="32" customHeight="1">
      <c r="A3" s="18" t="inlineStr">
        <is>
          <t>Performance, pipeline, OWASP checks, observability and accessibility. Maps to NFR-* / SEC-* / FR-DEV-* / FR-OBS-*.</t>
        </is>
      </c>
    </row>
    <row r="4">
      <c r="A4" s="36" t="inlineStr">
        <is>
          <t>Total</t>
        </is>
      </c>
      <c r="B4" s="36">
        <f>COUNTA(B6:B15)</f>
        <v/>
      </c>
      <c r="C4" s="36" t="inlineStr">
        <is>
          <t>Pass</t>
        </is>
      </c>
      <c r="D4" s="36">
        <f>COUNTIF(K6:K15,"Pass")</f>
        <v/>
      </c>
      <c r="E4" s="36" t="inlineStr">
        <is>
          <t>Fail</t>
        </is>
      </c>
      <c r="F4" s="36">
        <f>COUNTIF(K6:K15,"Fail")</f>
        <v/>
      </c>
      <c r="G4" s="36" t="inlineStr">
        <is>
          <t>Blocked</t>
        </is>
      </c>
      <c r="H4" s="36">
        <f>COUNTIF(K6:K15,"Blocked")</f>
        <v/>
      </c>
      <c r="I4" s="36" t="inlineStr">
        <is>
          <t>Not Executed</t>
        </is>
      </c>
      <c r="J4" s="36">
        <f>COUNTIF(K6:K15,"Not Executed")</f>
        <v/>
      </c>
      <c r="K4" s="36" t="inlineStr">
        <is>
          <t>Pass rate</t>
        </is>
      </c>
      <c r="L4" s="37">
        <f>IF(B4=0,0,D4/B4)</f>
        <v/>
      </c>
    </row>
    <row r="5" ht="28" customHeight="1">
      <c r="A5" s="38" t="inlineStr">
        <is>
          <t>#</t>
        </is>
      </c>
      <c r="B5" s="38" t="inlineStr">
        <is>
          <t>Test ID</t>
        </is>
      </c>
      <c r="C5" s="38" t="inlineStr">
        <is>
          <t>Module</t>
        </is>
      </c>
      <c r="D5" s="38" t="inlineStr">
        <is>
          <t>Sub-module</t>
        </is>
      </c>
      <c r="E5" s="38" t="inlineStr">
        <is>
          <t>Test Case Title</t>
        </is>
      </c>
      <c r="F5" s="38" t="inlineStr">
        <is>
          <t>Pre-conditions</t>
        </is>
      </c>
      <c r="G5" s="38" t="inlineStr">
        <is>
          <t>Test Steps</t>
        </is>
      </c>
      <c r="H5" s="38" t="inlineStr">
        <is>
          <t>Expected Result</t>
        </is>
      </c>
      <c r="I5" s="38" t="inlineStr">
        <is>
          <t>Actual Result</t>
        </is>
      </c>
      <c r="J5" s="38" t="inlineStr">
        <is>
          <t>Priority</t>
        </is>
      </c>
      <c r="K5" s="38" t="inlineStr">
        <is>
          <t>Status</t>
        </is>
      </c>
      <c r="L5" s="38" t="inlineStr">
        <is>
          <t>Tester</t>
        </is>
      </c>
      <c r="M5" s="38" t="inlineStr">
        <is>
          <t>Test Date</t>
        </is>
      </c>
      <c r="N5" s="38" t="inlineStr">
        <is>
          <t>Defect ID</t>
        </is>
      </c>
      <c r="O5" s="38" t="inlineStr">
        <is>
          <t>Comments</t>
        </is>
      </c>
    </row>
    <row r="6" ht="48" customHeight="1">
      <c r="A6" s="39" t="n">
        <v>1</v>
      </c>
      <c r="B6" s="39" t="inlineStr">
        <is>
          <t>NF-001</t>
        </is>
      </c>
      <c r="C6" s="39" t="inlineStr">
        <is>
          <t>Non-functional</t>
        </is>
      </c>
      <c r="D6" s="39" t="inlineStr">
        <is>
          <t>Perf</t>
        </is>
      </c>
      <c r="E6" s="39" t="inlineStr">
        <is>
          <t>Login p95 ≤ 500 ms at 100 concurrent</t>
        </is>
      </c>
      <c r="F6" s="39" t="inlineStr">
        <is>
          <t>JMeter/Gatling script; UAT cluster.</t>
        </is>
      </c>
      <c r="G6" s="39" t="inlineStr">
        <is>
          <t>Ramp 100 users login.</t>
        </is>
      </c>
      <c r="H6" s="39" t="inlineStr">
        <is>
          <t>p95 ≤ 500 ms; error-rate &lt; 1%.</t>
        </is>
      </c>
      <c r="I6" s="39" t="inlineStr"/>
      <c r="J6" s="39" t="inlineStr">
        <is>
          <t>High</t>
        </is>
      </c>
      <c r="K6" s="39" t="inlineStr">
        <is>
          <t>Not Executed</t>
        </is>
      </c>
      <c r="L6" s="39" t="inlineStr"/>
      <c r="M6" s="39" t="inlineStr"/>
      <c r="N6" s="39" t="inlineStr"/>
      <c r="O6" s="39" t="inlineStr">
        <is>
          <t>NFR-PERF-01</t>
        </is>
      </c>
    </row>
    <row r="7" ht="48" customHeight="1">
      <c r="A7" s="40" t="n">
        <v>2</v>
      </c>
      <c r="B7" s="40" t="inlineStr">
        <is>
          <t>NF-002</t>
        </is>
      </c>
      <c r="C7" s="40" t="inlineStr">
        <is>
          <t>Non-functional</t>
        </is>
      </c>
      <c r="D7" s="40" t="inlineStr">
        <is>
          <t>Load</t>
        </is>
      </c>
      <c r="E7" s="40" t="inlineStr">
        <is>
          <t>50 concurrent checkout 60 s error-rate &lt; 1%</t>
        </is>
      </c>
      <c r="F7" s="40" t="inlineStr">
        <is>
          <t>Lab 4 script.</t>
        </is>
      </c>
      <c r="G7" s="40" t="inlineStr">
        <is>
          <t>50 users 60 s against checkout API.</t>
        </is>
      </c>
      <c r="H7" s="40" t="inlineStr">
        <is>
          <t>Error-rate &lt; 1%; report attached.</t>
        </is>
      </c>
      <c r="I7" s="40" t="inlineStr"/>
      <c r="J7" s="40" t="inlineStr">
        <is>
          <t>High</t>
        </is>
      </c>
      <c r="K7" s="40" t="inlineStr">
        <is>
          <t>Not Executed</t>
        </is>
      </c>
      <c r="L7" s="40" t="inlineStr"/>
      <c r="M7" s="40" t="inlineStr"/>
      <c r="N7" s="40" t="inlineStr"/>
      <c r="O7" s="40" t="inlineStr"/>
    </row>
    <row r="8" ht="48" customHeight="1">
      <c r="A8" s="39" t="n">
        <v>3</v>
      </c>
      <c r="B8" s="39" t="inlineStr">
        <is>
          <t>NF-003</t>
        </is>
      </c>
      <c r="C8" s="39" t="inlineStr">
        <is>
          <t>Non-functional</t>
        </is>
      </c>
      <c r="D8" s="39" t="inlineStr">
        <is>
          <t>Stress</t>
        </is>
      </c>
      <c r="E8" s="39" t="inlineStr">
        <is>
          <t>200 concurrent fails gracefully</t>
        </is>
      </c>
      <c r="F8" s="39" t="inlineStr">
        <is>
          <t>Stress script.</t>
        </is>
      </c>
      <c r="G8" s="39" t="inlineStr">
        <is>
          <t>200 concurrent checkout.</t>
        </is>
      </c>
      <c r="H8" s="39" t="inlineStr">
        <is>
          <t>No paid-without-stock; no HTML 500 stack traces.</t>
        </is>
      </c>
      <c r="I8" s="39" t="inlineStr"/>
      <c r="J8" s="39" t="inlineStr">
        <is>
          <t>Medium</t>
        </is>
      </c>
      <c r="K8" s="39" t="inlineStr">
        <is>
          <t>Not Executed</t>
        </is>
      </c>
      <c r="L8" s="39" t="inlineStr"/>
      <c r="M8" s="39" t="inlineStr"/>
      <c r="N8" s="39" t="inlineStr"/>
      <c r="O8" s="39" t="inlineStr"/>
    </row>
    <row r="9" ht="48" customHeight="1">
      <c r="A9" s="40" t="n">
        <v>4</v>
      </c>
      <c r="B9" s="40" t="inlineStr">
        <is>
          <t>NF-004</t>
        </is>
      </c>
      <c r="C9" s="40" t="inlineStr">
        <is>
          <t>Non-functional</t>
        </is>
      </c>
      <c r="D9" s="40" t="inlineStr">
        <is>
          <t>Pipeline</t>
        </is>
      </c>
      <c r="E9" s="40" t="inlineStr">
        <is>
          <t>CI Test stage runs unit tests</t>
        </is>
      </c>
      <c r="F9" s="40" t="inlineStr">
        <is>
          <t>Repo with Jest/JUnit.</t>
        </is>
      </c>
      <c r="G9" s="40" t="inlineStr">
        <is>
          <t>Push a failing unit test on a branch.</t>
        </is>
      </c>
      <c r="H9" s="40" t="inlineStr">
        <is>
          <t>Pipeline red; Deploy did not run.</t>
        </is>
      </c>
      <c r="I9" s="40" t="inlineStr"/>
      <c r="J9" s="40" t="inlineStr">
        <is>
          <t>High</t>
        </is>
      </c>
      <c r="K9" s="40" t="inlineStr">
        <is>
          <t>Not Executed</t>
        </is>
      </c>
      <c r="L9" s="40" t="inlineStr"/>
      <c r="M9" s="40" t="inlineStr"/>
      <c r="N9" s="40" t="inlineStr"/>
      <c r="O9" s="40" t="inlineStr">
        <is>
          <t>FR-DEV-03</t>
        </is>
      </c>
    </row>
    <row r="10" ht="48" customHeight="1">
      <c r="A10" s="39" t="n">
        <v>5</v>
      </c>
      <c r="B10" s="39" t="inlineStr">
        <is>
          <t>NF-005</t>
        </is>
      </c>
      <c r="C10" s="39" t="inlineStr">
        <is>
          <t>Non-functional</t>
        </is>
      </c>
      <c r="D10" s="39" t="inlineStr">
        <is>
          <t>Security</t>
        </is>
      </c>
      <c r="E10" s="39" t="inlineStr">
        <is>
          <t>No stack traces on 500</t>
        </is>
      </c>
      <c r="F10" s="39" t="inlineStr">
        <is>
          <t>Force an API error (invalid UUID storm).</t>
        </is>
      </c>
      <c r="G10" s="39" t="inlineStr">
        <is>
          <t>Observe UI and JSON.</t>
        </is>
      </c>
      <c r="H10" s="39" t="inlineStr">
        <is>
          <t>Generic error + trace_id; no stack.</t>
        </is>
      </c>
      <c r="I10" s="39" t="inlineStr"/>
      <c r="J10" s="39" t="inlineStr">
        <is>
          <t>High</t>
        </is>
      </c>
      <c r="K10" s="39" t="inlineStr">
        <is>
          <t>Not Executed</t>
        </is>
      </c>
      <c r="L10" s="39" t="inlineStr"/>
      <c r="M10" s="39" t="inlineStr"/>
      <c r="N10" s="39" t="inlineStr"/>
      <c r="O10" s="39" t="inlineStr"/>
    </row>
    <row r="11" ht="48" customHeight="1">
      <c r="A11" s="40" t="n">
        <v>6</v>
      </c>
      <c r="B11" s="40" t="inlineStr">
        <is>
          <t>NF-006</t>
        </is>
      </c>
      <c r="C11" s="40" t="inlineStr">
        <is>
          <t>Non-functional</t>
        </is>
      </c>
      <c r="D11" s="40" t="inlineStr">
        <is>
          <t>Dependencies</t>
        </is>
      </c>
      <c r="E11" s="40" t="inlineStr">
        <is>
          <t>npm audit / Maven CVE check in pipeline</t>
        </is>
      </c>
      <c r="F11" s="40" t="inlineStr">
        <is>
          <t>Test stage configured.</t>
        </is>
      </c>
      <c r="G11" s="40" t="inlineStr">
        <is>
          <t>Open pipeline log.</t>
        </is>
      </c>
      <c r="H11" s="40" t="inlineStr">
        <is>
          <t>Audit step present; High CVEs triaged.</t>
        </is>
      </c>
      <c r="I11" s="40" t="inlineStr"/>
      <c r="J11" s="40" t="inlineStr">
        <is>
          <t>Medium</t>
        </is>
      </c>
      <c r="K11" s="40" t="inlineStr">
        <is>
          <t>Not Executed</t>
        </is>
      </c>
      <c r="L11" s="40" t="inlineStr"/>
      <c r="M11" s="40" t="inlineStr"/>
      <c r="N11" s="40" t="inlineStr"/>
      <c r="O11" s="40" t="inlineStr">
        <is>
          <t>SEC-05</t>
        </is>
      </c>
    </row>
    <row r="12" ht="48" customHeight="1">
      <c r="A12" s="39" t="n">
        <v>7</v>
      </c>
      <c r="B12" s="39" t="inlineStr">
        <is>
          <t>NF-007</t>
        </is>
      </c>
      <c r="C12" s="39" t="inlineStr">
        <is>
          <t>Non-functional</t>
        </is>
      </c>
      <c r="D12" s="39" t="inlineStr">
        <is>
          <t>Logs</t>
        </is>
      </c>
      <c r="E12" s="39" t="inlineStr">
        <is>
          <t>JSON logs include trace_id</t>
        </is>
      </c>
      <c r="F12" s="39" t="inlineStr">
        <is>
          <t>Hit /api/products.</t>
        </is>
      </c>
      <c r="G12" s="39" t="inlineStr">
        <is>
          <t>Read API stdout / Loki.</t>
        </is>
      </c>
      <c r="H12" s="39" t="inlineStr">
        <is>
          <t>One JSON object per line with trace_id.</t>
        </is>
      </c>
      <c r="I12" s="39" t="inlineStr"/>
      <c r="J12" s="39" t="inlineStr">
        <is>
          <t>High</t>
        </is>
      </c>
      <c r="K12" s="39" t="inlineStr">
        <is>
          <t>Not Executed</t>
        </is>
      </c>
      <c r="L12" s="39" t="inlineStr"/>
      <c r="M12" s="39" t="inlineStr"/>
      <c r="N12" s="39" t="inlineStr"/>
      <c r="O12" s="39" t="inlineStr"/>
    </row>
    <row r="13" ht="48" customHeight="1">
      <c r="A13" s="40" t="n">
        <v>8</v>
      </c>
      <c r="B13" s="40" t="inlineStr">
        <is>
          <t>NF-008</t>
        </is>
      </c>
      <c r="C13" s="40" t="inlineStr">
        <is>
          <t>Non-functional</t>
        </is>
      </c>
      <c r="D13" s="40" t="inlineStr">
        <is>
          <t>Dashboard</t>
        </is>
      </c>
      <c r="E13" s="40" t="inlineStr">
        <is>
          <t>Grafana four golden signals</t>
        </is>
      </c>
      <c r="F13" s="40" t="inlineStr">
        <is>
          <t>Lab 5 stack.</t>
        </is>
      </c>
      <c r="G13" s="40" t="inlineStr">
        <is>
          <t>Open dashboard.</t>
        </is>
      </c>
      <c r="H13" s="40" t="inlineStr">
        <is>
          <t>Latency, traffic, errors, saturation panels with live data.</t>
        </is>
      </c>
      <c r="I13" s="40" t="inlineStr"/>
      <c r="J13" s="40" t="inlineStr">
        <is>
          <t>High</t>
        </is>
      </c>
      <c r="K13" s="40" t="inlineStr">
        <is>
          <t>Not Executed</t>
        </is>
      </c>
      <c r="L13" s="40" t="inlineStr"/>
      <c r="M13" s="40" t="inlineStr"/>
      <c r="N13" s="40" t="inlineStr"/>
      <c r="O13" s="40" t="inlineStr"/>
    </row>
    <row r="14" ht="48" customHeight="1">
      <c r="A14" s="39" t="n">
        <v>9</v>
      </c>
      <c r="B14" s="39" t="inlineStr">
        <is>
          <t>NF-009</t>
        </is>
      </c>
      <c r="C14" s="39" t="inlineStr">
        <is>
          <t>Non-functional</t>
        </is>
      </c>
      <c r="D14" s="39" t="inlineStr">
        <is>
          <t>Alert</t>
        </is>
      </c>
      <c r="E14" s="39" t="inlineStr">
        <is>
          <t>Error-rate alert delivers to channel</t>
        </is>
      </c>
      <c r="F14" s="39" t="inlineStr">
        <is>
          <t>Alert rule + webhook.</t>
        </is>
      </c>
      <c r="G14" s="39" t="inlineStr">
        <is>
          <t>Generate errors above threshold.</t>
        </is>
      </c>
      <c r="H14" s="39" t="inlineStr">
        <is>
          <t>Notification received; evidence attached.</t>
        </is>
      </c>
      <c r="I14" s="39" t="inlineStr"/>
      <c r="J14" s="39" t="inlineStr">
        <is>
          <t>High</t>
        </is>
      </c>
      <c r="K14" s="39" t="inlineStr">
        <is>
          <t>Not Executed</t>
        </is>
      </c>
      <c r="L14" s="39" t="inlineStr"/>
      <c r="M14" s="39" t="inlineStr"/>
      <c r="N14" s="39" t="inlineStr"/>
      <c r="O14" s="39" t="inlineStr"/>
    </row>
    <row r="15" ht="48" customHeight="1">
      <c r="A15" s="40" t="n">
        <v>10</v>
      </c>
      <c r="B15" s="40" t="inlineStr">
        <is>
          <t>NF-010</t>
        </is>
      </c>
      <c r="C15" s="40" t="inlineStr">
        <is>
          <t>Non-functional</t>
        </is>
      </c>
      <c r="D15" s="40" t="inlineStr">
        <is>
          <t>A11y</t>
        </is>
      </c>
      <c r="E15" s="40" t="inlineStr">
        <is>
          <t>Checkout keyboard-only</t>
        </is>
      </c>
      <c r="F15" s="40" t="inlineStr">
        <is>
          <t>Browser, no mouse.</t>
        </is>
      </c>
      <c r="G15" s="40" t="inlineStr">
        <is>
          <t>Tab through checkout; complete with keyboard.</t>
        </is>
      </c>
      <c r="H15" s="40" t="inlineStr">
        <is>
          <t>All controls reachable; labels announced.</t>
        </is>
      </c>
      <c r="I15" s="40" t="inlineStr"/>
      <c r="J15" s="40" t="inlineStr">
        <is>
          <t>Medium</t>
        </is>
      </c>
      <c r="K15" s="40" t="inlineStr">
        <is>
          <t>Not Executed</t>
        </is>
      </c>
      <c r="L15" s="40" t="inlineStr"/>
      <c r="M15" s="40" t="inlineStr"/>
      <c r="N15" s="40" t="inlineStr"/>
      <c r="O15" s="40" t="inlineStr"/>
    </row>
  </sheetData>
  <autoFilter ref="A5:O15"/>
  <mergeCells count="2">
    <mergeCell ref="A3:O3"/>
    <mergeCell ref="A2:O2"/>
  </mergeCells>
  <dataValidations count="2">
    <dataValidation sqref="K6:K15" showDropDown="0" showInputMessage="0" showErrorMessage="0" allowBlank="0" type="list">
      <formula1>"Pass,Fail,Blocked,Not Executed"</formula1>
    </dataValidation>
    <dataValidation sqref="J6:J15" showDropDown="0" showInputMessage="0" showErrorMessage="0" allowBlank="0" type="list">
      <formula1>"Critical,High,Medium,Low"</formula1>
    </dataValidation>
  </dataValidations>
  <pageMargins left="0.75" right="0.75" top="1" bottom="1" header="0.5" footer="0.5"/>
  <pageSetup orientation="landscape" fitToHeight="0" fitToWidth="1"/>
  <headerFooter>
    <oddHeader>&amp;LCloud Sphere UAT  ·  Non-functional</oddHeader>
    <oddFooter>&amp;RCSS-UAT-2026-001  · 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2026-09-20T11:05:57Z</dcterms:created>
  <dcterms:modified xsi:type="dcterms:W3CDTF">2026-09-20T11:05:57Z</dcterms:modified>
</cp:coreProperties>
</file>